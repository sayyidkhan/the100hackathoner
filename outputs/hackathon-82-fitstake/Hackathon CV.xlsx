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6f3a0159443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ckathons" sheetId="1" r:id="Rf3eb7d3a2d044279"/>
    <x:sheet xmlns:r="http://schemas.openxmlformats.org/officeDocument/2006/relationships" name="People" sheetId="2" r:id="Rcf2c87ce3c014b61"/>
    <x:sheet xmlns:r="http://schemas.openxmlformats.org/officeDocument/2006/relationships" name="Socials" sheetId="3" r:id="Rd67cee7c997a45af"/>
    <x:sheet xmlns:r="http://schemas.openxmlformats.org/officeDocument/2006/relationships" name="Theme Map" sheetId="4" r:id="Re577843c51a24688"/>
    <x:sheet xmlns:r="http://schemas.openxmlformats.org/officeDocument/2006/relationships" name="Prize Money" sheetId="5" r:id="Re4816178b819492a"/>
    <x:sheet xmlns:r="http://schemas.openxmlformats.org/officeDocument/2006/relationships" name="Prize Details" sheetId="6" r:id="R69777ab880874ded"/>
  </x:sheets>
</x:workbook>
</file>

<file path=xl/sharedStrings.xml><?xml version="1.0" encoding="utf-8"?>
<x:sst xmlns:x="http://schemas.openxmlformats.org/spreadsheetml/2006/main">
  <x:si>
    <x:t xml:space="preserve">#</x:t>
  </x:si>
  <x:si>
    <x:t xml:space="preserve">Hackathon Name</x:t>
  </x:si>
  <x:si>
    <x:t xml:space="preserve">Organizers</x:t>
  </x:si>
  <x:si>
    <x:t xml:space="preserve">Date</x:t>
  </x:si>
  <x:si>
    <x:t xml:space="preserve">Duration</x:t>
  </x:si>
  <x:si>
    <x:t xml:space="preserve">Duration Unit</x:t>
  </x:si>
  <x:si>
    <x:t xml:space="preserve">Award</x:t>
  </x:si>
  <x:si>
    <x:t xml:space="preserve">Industry / Theme</x:t>
  </x:si>
  <x:si>
    <x:t xml:space="preserve">Solution</x:t>
  </x:si>
  <x:si>
    <x:t xml:space="preserve">Team Members</x:t>
  </x:si>
  <x:si>
    <x:t xml:space="preserve">Product Name</x:t>
  </x:si>
  <x:si>
    <x:t xml:space="preserve">Client</x:t>
  </x:si>
  <x:si>
    <x:t xml:space="preserve">Country</x:t>
  </x:si>
  <x:si>
    <x:t xml:space="preserve">Location</x:t>
  </x:si>
  <x:si>
    <x:t xml:space="preserve">Source Code</x:t>
  </x:si>
  <x:si>
    <x:t xml:space="preserve">Event Link</x:t>
  </x:si>
  <x:si>
    <x:t xml:space="preserve">Education Technology Hackathon</x:t>
  </x:si>
  <x:si>
    <x:t xml:space="preserve">Biipmi Pte Ltd</x:t>
  </x:si>
  <x:si>
    <x:t xml:space="preserve">1st Sep - 3rd Sept 2016</x:t>
  </x:si>
  <x:si>
    <x:t xml:space="preserve">Days</x:t>
  </x:si>
  <x:si>
    <x:t xml:space="preserve">Education</x:t>
  </x:si>
  <x:si>
    <x:t xml:space="preserve">Work Place Learning Solution</x:t>
  </x:si>
  <x:si>
    <x:t xml:space="preserve">Hazni (Biz Dev), Cheryl (Marketing), David 01-02 (01, 02) (Educator), Sayyid (UI/UX)</x:t>
  </x:si>
  <x:si>
    <x:t xml:space="preserve">Xueyiyi V1.0</x:t>
  </x:si>
  <x:si>
    <x:t xml:space="preserve">-</x:t>
  </x:si>
  <x:si>
    <x:t xml:space="preserve">Singapore</x:t>
  </x:si>
  <x:si>
    <x:t xml:space="preserve">Lifelong Learning Institute / Scape</x:t>
  </x:si>
  <x:si>
    <x:t xml:space="preserve">Innovplus 2016 2nd Quarter</x:t>
  </x:si>
  <x:si>
    <x:t xml:space="preserve">Inlab</x:t>
  </x:si>
  <x:si>
    <x:t xml:space="preserve">Sep - Oct 2016</x:t>
  </x:si>
  <x:si>
    <x:t xml:space="preserve">Month</x:t>
  </x:si>
  <x:si>
    <x:t xml:space="preserve">Hazni (Biz Dev), David 01-02 (01, 02) (Educator &amp; PM), Sayyid (UI/UX)</x:t>
  </x:si>
  <x:si>
    <x:t xml:space="preserve">Xueyiyi V2.0</x:t>
  </x:si>
  <x:si>
    <x:t xml:space="preserve">Colleads, SMER, Prince</x:t>
  </x:si>
  <x:si>
    <x:t xml:space="preserve">Lifelong Learning Institute</x:t>
  </x:si>
  <x:si>
    <x:t xml:space="preserve">DataDriven Hackathon 2016</x:t>
  </x:si>
  <x:si>
    <x:t xml:space="preserve">Keeboola Asia &amp; CodingGirls</x:t>
  </x:si>
  <x:si>
    <x:t xml:space="preserve">Property Management, Data Analytics</x:t>
  </x:si>
  <x:si>
    <x:t xml:space="preserve">Increase Conversion Rate for PropertyGuru</x:t>
  </x:si>
  <x:si>
    <x:t xml:space="preserve">Yishu See, Sayyid, Wilson Chua, Gaille Teo, Ryan, Nicholas Ling</x:t>
  </x:si>
  <x:si>
    <x:t xml:space="preserve">PropertyGuru Smart Algorithm</x:t>
  </x:si>
  <x:si>
    <x:t xml:space="preserve">PropertyGuru</x:t>
  </x:si>
  <x:si>
    <x:t xml:space="preserve">NUS</x:t>
  </x:si>
  <x:si>
    <x:t xml:space="preserve">Fintech Festival Hackathon 2016</x:t>
  </x:si>
  <x:si>
    <x:t xml:space="preserve">ByteAcademy &amp; IBM</x:t>
  </x:si>
  <x:si>
    <x:t xml:space="preserve">Fintech</x:t>
  </x:si>
  <x:si>
    <x:t xml:space="preserve">Tackle Financial Inclusion with data-science</x:t>
  </x:si>
  <x:si>
    <x:t xml:space="preserve">Roger, Wilson Chua, Aaron Gong, Sayyid</x:t>
  </x:si>
  <x:si>
    <x:t xml:space="preserve">SocialCapitalAsia</x:t>
  </x:si>
  <x:si>
    <x:t xml:space="preserve">Bank of Mangaladan</x:t>
  </x:si>
  <x:si>
    <x:t xml:space="preserve">Singapore Expo</x:t>
  </x:si>
  <x:si>
    <x:t xml:space="preserve">Edu-Tech Hackathon 2017</x:t>
  </x:si>
  <x:si>
    <x:t xml:space="preserve">NUS Edu-tech</x:t>
  </x:si>
  <x:si>
    <x:t xml:space="preserve">Improve learning via ML/DL</x:t>
  </x:si>
  <x:si>
    <x:t xml:space="preserve">Mathilde Gaucher, Xiao Heng, Raimie Tang, Sayyid</x:t>
  </x:si>
  <x:si>
    <x:t xml:space="preserve">SayWhat</x:t>
  </x:si>
  <x:si>
    <x:t xml:space="preserve">SO.IMPACT Bootcamp 2017</x:t>
  </x:si>
  <x:si>
    <x:t xml:space="preserve">Scape/DBS/UnFramed</x:t>
  </x:si>
  <x:si>
    <x:t xml:space="preserve">Feb - Mar 2017</x:t>
  </x:si>
  <x:si>
    <x:t xml:space="preserve">Weeks</x:t>
  </x:si>
  <x:si>
    <x:t xml:space="preserve">Roger, Wilson Chua, Aaron Gong, Sayyid, Gayan Wiharagoda</x:t>
  </x:si>
  <x:si>
    <x:t xml:space="preserve">Scape</x:t>
  </x:si>
  <x:si>
    <x:t xml:space="preserve">#UNITEDWEHACK – Empower Women 2017</x:t>
  </x:si>
  <x:si>
    <x:t xml:space="preserve">AngelHack, Spacemob, GA</x:t>
  </x:si>
  <x:si>
    <x:t xml:space="preserve">Logistics &amp; Delivery</x:t>
  </x:si>
  <x:si>
    <x:t xml:space="preserve">Last-mile delivery service in third-world countries</x:t>
  </x:si>
  <x:si>
    <x:t xml:space="preserve">Ann, Shi Yang, Sayyid, Leon</x:t>
  </x:si>
  <x:si>
    <x:t xml:space="preserve">Vanita</x:t>
  </x:si>
  <x:si>
    <x:t xml:space="preserve">Spacemob</x:t>
  </x:si>
  <x:si>
    <x:t xml:space="preserve">NUS Data Hackathon 2017</x:t>
  </x:si>
  <x:si>
    <x:t xml:space="preserve">Healthcare</x:t>
  </x:si>
  <x:si>
    <x:t xml:space="preserve">Face-mapping health analysis</x:t>
  </x:si>
  <x:si>
    <x:t xml:space="preserve">Celine Lim, Eric, Sayyid</x:t>
  </x:si>
  <x:si>
    <x:t xml:space="preserve">Vainster</x:t>
  </x:si>
  <x:si>
    <x:t xml:space="preserve">#BOT Hackathon – Bosch IOT 2017</x:t>
  </x:si>
  <x:si>
    <x:t xml:space="preserve">Bosch</x:t>
  </x:si>
  <x:si>
    <x:t xml:space="preserve">Notifier Mailer system</x:t>
  </x:si>
  <x:si>
    <x:t xml:space="preserve">Anna Tantushyan, Eileen Chua, Singaram, Sayyid</x:t>
  </x:si>
  <x:si>
    <x:t xml:space="preserve">Mailbox IOT system</x:t>
  </x:si>
  <x:si>
    <x:t xml:space="preserve">Block 71</x:t>
  </x:si>
  <x:si>
    <x:t xml:space="preserve">DataDriven Hackathon 2017</x:t>
  </x:si>
  <x:si>
    <x:t xml:space="preserve">Keeboola Asia</x:t>
  </x:si>
  <x:si>
    <x:t xml:space="preserve">Various, Data Analytics</x:t>
  </x:si>
  <x:si>
    <x:t xml:space="preserve">App for expats/home movers</x:t>
  </x:si>
  <x:si>
    <x:t xml:space="preserve">Sayyid, Ilas, Gene</x:t>
  </x:si>
  <x:si>
    <x:t xml:space="preserve">Swagmylife</x:t>
  </x:si>
  <x:si>
    <x:t xml:space="preserve">PropertyGuru, Esplanade, Tabsquare</x:t>
  </x:si>
  <x:si>
    <x:t xml:space="preserve">Facebook APAC 2017</x:t>
  </x:si>
  <x:si>
    <x:t xml:space="preserve">SUTD Whatthehack Hackathon 2017</x:t>
  </x:si>
  <x:si>
    <x:t xml:space="preserve">SUTD</x:t>
  </x:si>
  <x:si>
    <x:t xml:space="preserve">Edu-Fintech, Data Analytics</x:t>
  </x:si>
  <x:si>
    <x:t xml:space="preserve">Student budget/lifestyle optimizer</x:t>
  </x:si>
  <x:si>
    <x:t xml:space="preserve">Sayyid, Mortiz, Terry, Hendry</x:t>
  </x:si>
  <x:si>
    <x:t xml:space="preserve">Warriors&amp;Mages</x:t>
  </x:si>
  <x:si>
    <x:t xml:space="preserve">Intuition Hackathon 2017</x:t>
  </x:si>
  <x:si>
    <x:t xml:space="preserve">NTU</x:t>
  </x:si>
  <x:si>
    <x:t xml:space="preserve">Impact investment search tool</x:t>
  </x:si>
  <x:si>
    <x:t xml:space="preserve">Daryll (Biz Dev), Sayyid (Design/Tech), Edward, Matthew Tan (Design/Tech)</x:t>
  </x:si>
  <x:si>
    <x:t xml:space="preserve">Nestash</x:t>
  </x:si>
  <x:si>
    <x:t xml:space="preserve">Blackrock</x:t>
  </x:si>
  <x:si>
    <x:t xml:space="preserve">Hack&amp;Roll 2018</x:t>
  </x:si>
  <x:si>
    <x:t xml:space="preserve">Personal Development, Data Analytics</x:t>
  </x:si>
  <x:si>
    <x:t xml:space="preserve">Time optimization analytics</x:t>
  </x:si>
  <x:si>
    <x:t xml:space="preserve">Jet New, Sayyid</x:t>
  </x:si>
  <x:si>
    <x:t xml:space="preserve">Life-Worth Evaluator</x:t>
  </x:si>
  <x:si>
    <x:t xml:space="preserve">#SPSEC SP Hackathon 2018</x:t>
  </x:si>
  <x:si>
    <x:t xml:space="preserve">SP</x:t>
  </x:si>
  <x:si>
    <x:t xml:space="preserve">Food, Health &amp; Fitness</x:t>
  </x:si>
  <x:si>
    <x:t xml:space="preserve">Dietary food locator</x:t>
  </x:si>
  <x:si>
    <x:t xml:space="preserve">Sayyid, Hong Wei</x:t>
  </x:si>
  <x:si>
    <x:t xml:space="preserve">Smart Food Bridge</x:t>
  </x:si>
  <x:si>
    <x:t xml:space="preserve">#FOSSASIA SP Hackathon 2018</x:t>
  </x:si>
  <x:si>
    <x:t xml:space="preserve">FOSSASIA</x:t>
  </x:si>
  <x:si>
    <x:t xml:space="preserve">Weather, Data Analytics</x:t>
  </x:si>
  <x:si>
    <x:t xml:space="preserve">Rain-to-flood probability analytics</x:t>
  </x:si>
  <x:si>
    <x:t xml:space="preserve">syabiqah phang, Jason Choo Yan Sheng, Sayyid</x:t>
  </x:si>
  <x:si>
    <x:t xml:space="preserve">Weather Guru</x:t>
  </x:si>
  <x:si>
    <x:t xml:space="preserve">#SmartCity Hackathon 2018</x:t>
  </x:si>
  <x:si>
    <x:t xml:space="preserve">Energo</x:t>
  </x:si>
  <x:si>
    <x:t xml:space="preserve">Social Enterprise, E-Waste</x:t>
  </x:si>
  <x:si>
    <x:t xml:space="preserve">E-waste collection for elderly empowerment</x:t>
  </x:si>
  <x:si>
    <x:t xml:space="preserve">Bobby Lim, Willie</x:t>
  </x:si>
  <x:si>
    <x:t xml:space="preserve">Goblin (E-Waste Collector)</x:t>
  </x:si>
  <x:si>
    <x:t xml:space="preserve">NTU Alumni Club</x:t>
  </x:si>
  <x:si>
    <x:t xml:space="preserve">#Mosque-Tech Challenge 2018</x:t>
  </x:si>
  <x:si>
    <x:t xml:space="preserve">Mendaki</x:t>
  </x:si>
  <x:si>
    <x:t xml:space="preserve">Fintech, Shariah Compliance</x:t>
  </x:si>
  <x:si>
    <x:t xml:space="preserve">Shariah-compliant investment analyzer</x:t>
  </x:si>
  <x:si>
    <x:t xml:space="preserve">Matthew Tan, Sayyid, Jay</x:t>
  </x:si>
  <x:si>
    <x:t xml:space="preserve">iceigloo</x:t>
  </x:si>
  <x:si>
    <x:t xml:space="preserve">Muhajirin Mosque</x:t>
  </x:si>
  <x:si>
    <x:t xml:space="preserve">#WSG HR Hackathon 2018</x:t>
  </x:si>
  <x:si>
    <x:t xml:space="preserve">Padang.co</x:t>
  </x:si>
  <x:si>
    <x:t xml:space="preserve">Sep 8-9, 2018</x:t>
  </x:si>
  <x:si>
    <x:t xml:space="preserve">Human Resource</x:t>
  </x:si>
  <x:si>
    <x:t xml:space="preserve">Job description optimizer</x:t>
  </x:si>
  <x:si>
    <x:t xml:space="preserve">Jun Ting, Lucas Grey, Sayyid, Benjamin Chong</x:t>
  </x:si>
  <x:si>
    <x:t xml:space="preserve">Checker App</x:t>
  </x:si>
  <x:si>
    <x:t xml:space="preserve">Mapletree Business City</x:t>
  </x:si>
  <x:si>
    <x:t xml:space="preserve">#NTU Intuition Hackathon 2018</x:t>
  </x:si>
  <x:si>
    <x:t xml:space="preserve">Oct 13-14, 2018</x:t>
  </x:si>
  <x:si>
    <x:t xml:space="preserve">Fintech, Financial Legacy</x:t>
  </x:si>
  <x:si>
    <x:t xml:space="preserve">Open-source digital will planner</x:t>
  </x:si>
  <x:si>
    <x:t xml:space="preserve">Gia, Timothy John, Balint, Sayyid</x:t>
  </x:si>
  <x:si>
    <x:t xml:space="preserve">Fasight</x:t>
  </x:si>
  <x:si>
    <x:t xml:space="preserve">NTU (The Arc – North Spine)</x:t>
  </x:si>
  <x:si>
    <x:t xml:space="preserve">#NASA Space Hackathon 2018</x:t>
  </x:si>
  <x:si>
    <x:t xml:space="preserve">Padang.co &amp; NASA</x:t>
  </x:si>
  <x:si>
    <x:t xml:space="preserve">Oct 20-21, 2018</x:t>
  </x:si>
  <x:si>
    <x:t xml:space="preserve">Space</x:t>
  </x:si>
  <x:si>
    <x:t xml:space="preserve">Data visualization app</x:t>
  </x:si>
  <x:si>
    <x:t xml:space="preserve">Heng Pei, Evan, Yu Ning, Jason Choo Yan Sheng, Sayyid</x:t>
  </x:si>
  <x:si>
    <x:t xml:space="preserve">CO2unter</x:t>
  </x:si>
  <x:si>
    <x:t xml:space="preserve">#SP Smart Nation Hackathon 2018</x:t>
  </x:si>
  <x:si>
    <x:t xml:space="preserve">Nov 10, 2018</x:t>
  </x:si>
  <x:si>
    <x:t xml:space="preserve">Smart Nation / Social Good</x:t>
  </x:si>
  <x:si>
    <x:t xml:space="preserve">Group food recommendation app</x:t>
  </x:si>
  <x:si>
    <x:t xml:space="preserve">David 21-23-24-25 (21, 23, 24, 25), Matthew Tan, Sayyid</x:t>
  </x:si>
  <x:si>
    <x:t xml:space="preserve">WinWinCusine</x:t>
  </x:si>
  <x:si>
    <x:t xml:space="preserve">Singapore Poly (LT18A)</x:t>
  </x:si>
  <x:si>
    <x:t xml:space="preserve">Super Silly Hackathon 2018</x:t>
  </x:si>
  <x:si>
    <x:t xml:space="preserve">GoJek</x:t>
  </x:si>
  <x:si>
    <x:t xml:space="preserve">Dec 15, 2018</x:t>
  </x:si>
  <x:si>
    <x:t xml:space="preserve">Afterlife</x:t>
  </x:si>
  <x:si>
    <x:t xml:space="preserve">Shoe burial service</x:t>
  </x:si>
  <x:si>
    <x:t xml:space="preserve">Sayyid</x:t>
  </x:si>
  <x:si>
    <x:t xml:space="preserve">ShoeObituaries</x:t>
  </x:si>
  <x:si>
    <x:t xml:space="preserve">GoJek Office (38 Sin Ming Ln)</x:t>
  </x:si>
  <x:si>
    <x:t xml:space="preserve">#NUS Hack&amp;Roll 2019</x:t>
  </x:si>
  <x:si>
    <x:t xml:space="preserve">Jan 19-20, 2019</x:t>
  </x:si>
  <x:si>
    <x:t xml:space="preserve">Pest Busting</x:t>
  </x:si>
  <x:si>
    <x:t xml:space="preserve">IoT pest detector</x:t>
  </x:si>
  <x:si>
    <x:t xml:space="preserve">Sayyid, Kyren, Matthew Tan, David 21-23-24-25 (21, 23, 24, 25)</x:t>
  </x:si>
  <x:si>
    <x:t xml:space="preserve">PestOverflow</x:t>
  </x:si>
  <x:si>
    <x:t xml:space="preserve">#HACKNTU 2019</x:t>
  </x:si>
  <x:si>
    <x:t xml:space="preserve">Smart Nation</x:t>
  </x:si>
  <x:si>
    <x:t xml:space="preserve">Gym location analytics</x:t>
  </x:si>
  <x:si>
    <x:t xml:space="preserve">Sayyid, Kenneth, Matthew Tan, David 21-23-24-25 (21, 23, 24, 25)</x:t>
  </x:si>
  <x:si>
    <x:t xml:space="preserve">MyNextGym</x:t>
  </x:si>
  <x:si>
    <x:t xml:space="preserve">NTU (The ARC – North Spine)</x:t>
  </x:si>
  <x:si>
    <x:t xml:space="preserve">#Mosque Hackathon 2019</x:t>
  </x:si>
  <x:si>
    <x:t xml:space="preserve">An-Nur Mosque</x:t>
  </x:si>
  <x:si>
    <x:t xml:space="preserve">May 19-20, 2019</x:t>
  </x:si>
  <x:si>
    <x:t xml:space="preserve">Healthy Living</x:t>
  </x:si>
  <x:si>
    <x:t xml:space="preserve">Mnemonics for memory retention</x:t>
  </x:si>
  <x:si>
    <x:t xml:space="preserve">Sayyid, Matthew Tan, David 21-23-24-25 (21, 23, 24, 25)</x:t>
  </x:si>
  <x:si>
    <x:t xml:space="preserve">NeuroSurge</x:t>
  </x:si>
  <x:si>
    <x:t xml:space="preserve">#Flutter Hackathon 2019</x:t>
  </x:si>
  <x:si>
    <x:t xml:space="preserve">Flutter &amp; PSLOVE</x:t>
  </x:si>
  <x:si>
    <x:t xml:space="preserve">Jun 1, 2019</x:t>
  </x:si>
  <x:si>
    <x:t xml:space="preserve">Education / Linguistics</x:t>
  </x:si>
  <x:si>
    <x:t xml:space="preserve">Language exchange platform</x:t>
  </x:si>
  <x:si>
    <x:t xml:space="preserve">Sayyid, Kamil, Kashif, Aseem Wangoo, Arthur</x:t>
  </x:si>
  <x:si>
    <x:t xml:space="preserve">Amigo</x:t>
  </x:si>
  <x:si>
    <x:t xml:space="preserve">#AngelHack 2019</x:t>
  </x:si>
  <x:si>
    <x:t xml:space="preserve">AngelHack, AWS, IBM, Grab</x:t>
  </x:si>
  <x:si>
    <x:t xml:space="preserve">Jun 6-7, 2019</x:t>
  </x:si>
  <x:si>
    <x:t xml:space="preserve">E-credits via GrabPoints</x:t>
  </x:si>
  <x:si>
    <x:t xml:space="preserve">Sayyid, Jason Choo Yan Sheng, Kang Liang Koh, Ashraf</x:t>
  </x:si>
  <x:si>
    <x:t xml:space="preserve">GrabHunt</x:t>
  </x:si>
  <x:si>
    <x:t xml:space="preserve">PSB Academy STEM Campus</x:t>
  </x:si>
  <x:si>
    <x:t xml:space="preserve">#SWSG 2019</x:t>
  </x:si>
  <x:si>
    <x:t xml:space="preserve">Startup Weekend SG</x:t>
  </x:si>
  <x:si>
    <x:t xml:space="preserve">Sep 6-8, 2019</x:t>
  </x:si>
  <x:si>
    <x:t xml:space="preserve">Waste Management / Sustainability</x:t>
  </x:si>
  <x:si>
    <x:t xml:space="preserve">Gamified recycling app</x:t>
  </x:si>
  <x:si>
    <x:t xml:space="preserve">Sayyid, Jason Choo Yan Sheng, Bobby Lim, Maureen</x:t>
  </x:si>
  <x:si>
    <x:t xml:space="preserve">Kitar-GO</x:t>
  </x:si>
  <x:si>
    <x:t xml:space="preserve">SCAPE (Level 5)</x:t>
  </x:si>
  <x:si>
    <x:t xml:space="preserve">Intuition 6.0</x:t>
  </x:si>
  <x:si>
    <x:t xml:space="preserve">Oct 12-13, 2019</x:t>
  </x:si>
  <x:si>
    <x:t xml:space="preserve">Home waste-picking robot</x:t>
  </x:si>
  <x:si>
    <x:t xml:space="preserve">Sayyid, Matthew Tan, Sin Mei Chong, Zi Cing Sim</x:t>
  </x:si>
  <x:si>
    <x:t xml:space="preserve">Super Silly Hackathon 2019</x:t>
  </x:si>
  <x:si>
    <x:t xml:space="preserve">Carousell</x:t>
  </x:si>
  <x:si>
    <x:t xml:space="preserve">Dec 14, 2019</x:t>
  </x:si>
  <x:si>
    <x:t xml:space="preserve">Silly Solutions</x:t>
  </x:si>
  <x:si>
    <x:t xml:space="preserve">Couple expectation manager (Angel/Devil concept)</x:t>
  </x:si>
  <x:si>
    <x:t xml:space="preserve">Sayyid, Haley</x:t>
  </x:si>
  <x:si>
    <x:t xml:space="preserve">The Punisher</x:t>
  </x:si>
  <x:si>
    <x:t xml:space="preserve">Carousell @ Keppel Towers 2</x:t>
  </x:si>
  <x:si>
    <x:t xml:space="preserve">Mosque Tech Challenge 2023</x:t>
  </x:si>
  <x:si>
    <x:t xml:space="preserve">Al-Falah Mosque</x:t>
  </x:si>
  <x:si>
    <x:t xml:space="preserve">Apr 15-16, 2023</x:t>
  </x:si>
  <x:si>
    <x:t xml:space="preserve">Wellness / Healthcare</x:t>
  </x:si>
  <x:si>
    <x:t xml:space="preserve">Career/learning/mental health tracker</x:t>
  </x:si>
  <x:si>
    <x:t xml:space="preserve">Sayyid, Iskandar Zulkarnain, Hakam, Hakim</x:t>
  </x:si>
  <x:si>
    <x:t xml:space="preserve">GrowthGuru</x:t>
  </x:si>
  <x:si>
    <x:t xml:space="preserve">ICP Ideathon 2023</x:t>
  </x:si>
  <x:si>
    <x:t xml:space="preserve">ICP</x:t>
  </x:si>
  <x:si>
    <x:t xml:space="preserve">Dec 17-18, 2023</x:t>
  </x:si>
  <x:si>
    <x:t xml:space="preserve">Productivity</x:t>
  </x:si>
  <x:si>
    <x:t xml:space="preserve">Web3 jargon summarizer (Instagram-style)</x:t>
  </x:si>
  <x:si>
    <x:t xml:space="preserve">Sayyid, Iskandar Zulkarnain</x:t>
  </x:si>
  <x:si>
    <x:t xml:space="preserve">Instareadr</x:t>
  </x:si>
  <x:si>
    <x:t xml:space="preserve">Cineleisure Orchard</x:t>
  </x:si>
  <x:si>
    <x:t xml:space="preserve">Decentralized website builder on ICP blockchain</x:t>
  </x:si>
  <x:si>
    <x:t xml:space="preserve">Sayyid, Jimmy Peh</x:t>
  </x:si>
  <x:si>
    <x:t xml:space="preserve">Structur3</x:t>
  </x:si>
  <x:si>
    <x:t xml:space="preserve">Builder Together: AI Hackathon 2024</x:t>
  </x:si>
  <x:si>
    <x:t xml:space="preserve">Antler</x:t>
  </x:si>
  <x:si>
    <x:t xml:space="preserve">Jun 6-7, 2024</x:t>
  </x:si>
  <x:si>
    <x:t xml:space="preserve">AI quiz generator from videos (enterprise)</x:t>
  </x:si>
  <x:si>
    <x:t xml:space="preserve">Sayyid, Arav Behl, Manas</x:t>
  </x:si>
  <x:si>
    <x:t xml:space="preserve">LrnMate</x:t>
  </x:si>
  <x:si>
    <x:t xml:space="preserve">128 Princep Street, Singapore</x:t>
  </x:si>
  <x:si>
    <x:t xml:space="preserve">https://github.com/arav-behl/LrnMate/tree/main</x:t>
  </x:si>
  <x:si>
    <x:t xml:space="preserve">Mosque Tech Challenge 2025</x:t>
  </x:si>
  <x:si>
    <x:t xml:space="preserve">Al-Mawaddah Mosque</x:t>
  </x:si>
  <x:si>
    <x:t xml:space="preserve">Mar 22-23, 2025</x:t>
  </x:si>
  <x:si>
    <x:t xml:space="preserve">Family</x:t>
  </x:si>
  <x:si>
    <x:t xml:space="preserve">Father-child bonding app (Gen AI adventures)</x:t>
  </x:si>
  <x:si>
    <x:t xml:space="preserve">Sayyid, Adib Yusof, Ali Marzuki, Hilsann Yong</x:t>
  </x:si>
  <x:si>
    <x:t xml:space="preserve">AnginOmbak</x:t>
  </x:si>
  <x:si>
    <x:t xml:space="preserve">https://github.com/sayyidkhan/anginombak</x:t>
  </x:si>
  <x:si>
    <x:t xml:space="preserve">Super AI Hackathon 2025</x:t>
  </x:si>
  <x:si>
    <x:t xml:space="preserve">Super AI</x:t>
  </x:si>
  <x:si>
    <x:t xml:space="preserve">Jun 17-19, 2025</x:t>
  </x:si>
  <x:si>
    <x:t xml:space="preserve">Open Track</x:t>
  </x:si>
  <x:si>
    <x:t xml:space="preserve">AI consulting for SMEs (McKinsey-style)</x:t>
  </x:si>
  <x:si>
    <x:t xml:space="preserve">Joewin Tan, Sayyid, Lester Cheong, Wan Wei</x:t>
  </x:si>
  <x:si>
    <x:t xml:space="preserve">UpsacleAI</x:t>
  </x:si>
  <x:si>
    <x:t xml:space="preserve">Super AI Hackathon</x:t>
  </x:si>
  <x:si>
    <x:t xml:space="preserve">Marina Bay Sands</x:t>
  </x:si>
  <x:si>
    <x:t xml:space="preserve">http://github.com/cheonglol/superai-next-hackathon-2025</x:t>
  </x:si>
  <x:si>
    <x:t xml:space="preserve">Bolt.New Hackathon 2025</x:t>
  </x:si>
  <x:si>
    <x:t xml:space="preserve">Virtual</x:t>
  </x:si>
  <x:si>
    <x:t xml:space="preserve">Jun 21, 2025</x:t>
  </x:si>
  <x:si>
    <x:t xml:space="preserve">AI consulting for SMEs (v2)</x:t>
  </x:si>
  <x:si>
    <x:t xml:space="preserve">UpsacleAI [Bolt Edition]</x:t>
  </x:si>
  <x:si>
    <x:t xml:space="preserve">bolt.new</x:t>
  </x:si>
  <x:si>
    <x:t xml:space="preserve">https://devpost.com/software/jslw-scaleupai-bolt-edition</x:t>
  </x:si>
  <x:si>
    <x:t xml:space="preserve">OOJU X Manus.AI Hackathon 2025</x:t>
  </x:si>
  <x:si>
    <x:t xml:space="preserve">Manus</x:t>
  </x:si>
  <x:si>
    <x:t xml:space="preserve">Jun 27, 2025</x:t>
  </x:si>
  <x:si>
    <x:t xml:space="preserve">Virtual Reality</x:t>
  </x:si>
  <x:si>
    <x:t xml:space="preserve">AI consulting for SMEs (VR edition)</x:t>
  </x:si>
  <x:si>
    <x:t xml:space="preserve">UpsacleAI [VR Edition]</x:t>
  </x:si>
  <x:si>
    <x:t xml:space="preserve">OOJU &amp; Manus.ai</x:t>
  </x:si>
  <x:si>
    <x:t xml:space="preserve">SQ Collective</x:t>
  </x:si>
  <x:si>
    <x:t xml:space="preserve">https://github.com/sayyidkhan/manus-im-hackathon</x:t>
  </x:si>
  <x:si>
    <x:t xml:space="preserve">Emergency GPT hackathon 2025</x:t>
  </x:si>
  <x:si>
    <x:t xml:space="preserve">The TGB Collective</x:t>
  </x:si>
  <x:si>
    <x:t xml:space="preserve">Aug 10, 2025</x:t>
  </x:si>
  <x:si>
    <x:t xml:space="preserve">chatgpt 6 nano</x:t>
  </x:si>
  <x:si>
    <x:t xml:space="preserve">sayyid, ivan</x:t>
  </x:si>
  <x:si>
    <x:t xml:space="preserve">chatgpt-6-nano</x:t>
  </x:si>
  <x:si>
    <x:t xml:space="preserve">https://github.com/sayyidkhan/gpt6-nano</x:t>
  </x:si>
  <x:si>
    <x:t xml:space="preserve">Sarawak AI Hackathon 2025</x:t>
  </x:si>
  <x:si>
    <x:t xml:space="preserve">Sarawak X Singapore</x:t>
  </x:si>
  <x:si>
    <x:t xml:space="preserve">Sep 6, 2025</x:t>
  </x:si>
  <x:si>
    <x:t xml:space="preserve">Design</x:t>
  </x:si>
  <x:si>
    <x:t xml:space="preserve">Hisyam, Hafidz</x:t>
  </x:si>
  <x:si>
    <x:t xml:space="preserve">Singapore X Sarawak</x:t>
  </x:si>
  <x:si>
    <x:t xml:space="preserve">Sarawak</x:t>
  </x:si>
  <x:si>
    <x:t xml:space="preserve">Makeramai Makerspace, Kuching, Sarawak, Malaysia</x:t>
  </x:si>
  <x:si>
    <x:t xml:space="preserve">NAS.IO Hackathon 2025</x:t>
  </x:si>
  <x:si>
    <x:t xml:space="preserve">NAS.io</x:t>
  </x:si>
  <x:si>
    <x:t xml:space="preserve">Advertising</x:t>
  </x:si>
  <x:si>
    <x:t xml:space="preserve">Learn how to build a funnel using nas.io platform</x:t>
  </x:si>
  <x:si>
    <x:t xml:space="preserve">sayyid</x:t>
  </x:si>
  <x:si>
    <x:t xml:space="preserve">SMU</x:t>
  </x:si>
  <x:si>
    <x:t xml:space="preserve">https://github.com/sayyidkhan/prompt-alchemist-beta</x:t>
  </x:si>
  <x:si>
    <x:t xml:space="preserve">Nosana Hackathon 2025</x:t>
  </x:si>
  <x:si>
    <x:t xml:space="preserve">Nosana</x:t>
  </x:si>
  <x:si>
    <x:t xml:space="preserve">ML Inference</x:t>
  </x:si>
  <x:si>
    <x:t xml:space="preserve">Built a moon trading app, trade crypto according to moon cycles</x:t>
  </x:si>
  <x:si>
    <x:t xml:space="preserve">AstroDegen</x:t>
  </x:si>
  <x:si>
    <x:t xml:space="preserve">Monk Brew House</x:t>
  </x:si>
  <x:si>
    <x:t xml:space="preserve">https://github.com/sayyidkhan/nosana-ci-agent-challenge</x:t>
  </x:si>
  <x:si>
    <x:t xml:space="preserve">Airia Hackathon 2025</x:t>
  </x:si>
  <x:si>
    <x:t xml:space="preserve">Airia</x:t>
  </x:si>
  <x:si>
    <x:t xml:space="preserve">Formula 1</x:t>
  </x:si>
  <x:si>
    <x:t xml:space="preserve">Built a formula 1 betting app</x:t>
  </x:si>
  <x:si>
    <x:t xml:space="preserve">F1 Degens</x:t>
  </x:si>
  <x:si>
    <x:t xml:space="preserve">Cursor Hackathon Singapore 2025</x:t>
  </x:si>
  <x:si>
    <x:t xml:space="preserve">Cursor</x:t>
  </x:si>
  <x:si>
    <x:t xml:space="preserve">Oct 18-19, 2025</x:t>
  </x:si>
  <x:si>
    <x:t xml:space="preserve">Vibe Trading App</x:t>
  </x:si>
  <x:si>
    <x:t xml:space="preserve">sayyid, hisyam, hafidz, shashi</x:t>
  </x:si>
  <x:si>
    <x:t xml:space="preserve">Vibewater Associates</x:t>
  </x:si>
  <x:si>
    <x:t xml:space="preserve">OpenAI, Antrohpic, convex, cursor, fal.ai</x:t>
  </x:si>
  <x:si>
    <x:t xml:space="preserve">https://github.com/sayyidkhan/vibewater_associates</x:t>
  </x:si>
  <x:si>
    <x:t xml:space="preserve">Cloudflare Hackathon 2025</x:t>
  </x:si>
  <x:si>
    <x:t xml:space="preserve">Cloudflare</x:t>
  </x:si>
  <x:si>
    <x:t xml:space="preserve">Vibe Coding Addiction Tool</x:t>
  </x:si>
  <x:si>
    <x:t xml:space="preserve">sayyid, cy, jun kai, ajentik</x:t>
  </x:si>
  <x:si>
    <x:t xml:space="preserve">Asterix</x:t>
  </x:si>
  <x:si>
    <x:t xml:space="preserve">Cloudflare &amp; Redis</x:t>
  </x:si>
  <x:si>
    <x:t xml:space="preserve">Cloudflare Office Singapore</x:t>
  </x:si>
  <x:si>
    <x:t xml:space="preserve">https://github.com/sayyidkhan/asterix</x:t>
  </x:si>
  <x:si>
    <x:t xml:space="preserve">Singhack Hackathon 2025</x:t>
  </x:si>
  <x:si>
    <x:t xml:space="preserve">Singhacks</x:t>
  </x:si>
  <x:si>
    <x:t xml:space="preserve">31Oct - 2 Nov, 2025</x:t>
  </x:si>
  <x:si>
    <x:t xml:space="preserve">Blockchain</x:t>
  </x:si>
  <x:si>
    <x:t xml:space="preserve">Agentic Ai ecosystem on hedera blockchain</x:t>
  </x:si>
  <x:si>
    <x:t xml:space="preserve">sayyid, shashi, brian, marcus</x:t>
  </x:si>
  <x:si>
    <x:t xml:space="preserve">Hedera Agents Hub</x:t>
  </x:si>
  <x:si>
    <x:t xml:space="preserve">Hedera</x:t>
  </x:si>
  <x:si>
    <x:t xml:space="preserve">catapult by capitaland</x:t>
  </x:si>
  <x:si>
    <x:t xml:space="preserve">https://github.com/sayyidkhan/HederaAgentsHub</x:t>
  </x:si>
  <x:si>
    <x:t xml:space="preserve">Lovable &amp; ANCHR 2025</x:t>
  </x:si>
  <x:si>
    <x:t xml:space="preserve">Lovable</x:t>
  </x:si>
  <x:si>
    <x:t xml:space="preserve">Nov 22-23, 2025 </x:t>
  </x:si>
  <x:si>
    <x:t xml:space="preserve">Tempeh shaped computer parts</x:t>
  </x:si>
  <x:si>
    <x:t xml:space="preserve">Natalie's Tempeh</x:t>
  </x:si>
  <x:si>
    <x:t xml:space="preserve">Remote</x:t>
  </x:si>
  <x:si>
    <x:t xml:space="preserve">https://github.com/sayyidkhan/nataliestempeh</x:t>
  </x:si>
  <x:si>
    <x:t xml:space="preserve">Gen AI Greeting Card Generator</x:t>
  </x:si>
  <x:si>
    <x:t xml:space="preserve">sayyid, Sofia Kung</x:t>
  </x:si>
  <x:si>
    <x:t xml:space="preserve">jollycard</x:t>
  </x:si>
  <x:si>
    <x:t xml:space="preserve">https://github.com/sayyidkhan/jollycards</x:t>
  </x:si>
  <x:si>
    <x:t xml:space="preserve">APAC’s First Art x Tech Hackathon</x:t>
  </x:si>
  <x:si>
    <x:t xml:space="preserve">Yee / Amanda / Elie / Joe / Jass</x:t>
  </x:si>
  <x:si>
    <x:t xml:space="preserve">24/1/2026</x:t>
  </x:si>
  <x:si>
    <x:t xml:space="preserve">Curated Theme: Touch Grass</x:t>
  </x:si>
  <x:si>
    <x:t xml:space="preserve">Stress Out, Bunny In: A gentle interactive space to stop working and start resting.</x:t>
  </x:si>
  <x:si>
    <x:t xml:space="preserve">sayyid,shashi,hisyam</x:t>
  </x:si>
  <x:si>
    <x:t xml:space="preserve">Stress Out,Bunny In</x:t>
  </x:si>
  <x:si>
    <x:t xml:space="preserve">Thoth AI, Airfoil, Elevenlabs, V0, Figma, OpenAI, Lovable, SMU</x:t>
  </x:si>
  <x:si>
    <x:t xml:space="preserve">SMU Connexion</x:t>
  </x:si>
  <x:si>
    <x:t xml:space="preserve">https://github.com/sayyidkhan/art-x-tech-hackathon-2026</x:t>
  </x:si>
  <x:si>
    <x:t xml:space="preserve">https://luma.com/186w8zoo?tk=Y3hTyJ</x:t>
  </x:si>
  <x:si>
    <x:t xml:space="preserve">Agentfield Hackathon 2026</x:t>
  </x:si>
  <x:si>
    <x:t xml:space="preserve">AI Builders</x:t>
  </x:si>
  <x:si>
    <x:t xml:space="preserve">Agentic AI</x:t>
  </x:si>
  <x:si>
    <x:t xml:space="preserve">MagiStock → Autonomous Portfolio Risk Governor</x:t>
  </x:si>
  <x:si>
    <x:t xml:space="preserve">sayyid,shashi,clement</x:t>
  </x:si>
  <x:si>
    <x:t xml:space="preserve">MagiStock</x:t>
  </x:si>
  <x:si>
    <x:t xml:space="preserve">Agentfield</x:t>
  </x:si>
  <x:si>
    <x:t xml:space="preserve">https://github.com/sayyidkhan/agentfields</x:t>
  </x:si>
  <x:si>
    <x:t xml:space="preserve">https://luma.com/afsghackathon</x:t>
  </x:si>
  <x:si>
    <x:t xml:space="preserve">Build an Agentic AI to help you to determine to quit your job</x:t>
  </x:si>
  <x:si>
    <x:t xml:space="preserve">Should I Quit</x:t>
  </x:si>
  <x:si>
    <x:t xml:space="preserve">https://github.com/sayyidkhan/shouldIquit</x:t>
  </x:si>
  <x:si>
    <x:t xml:space="preserve">AgentForce Hackathon 2026</x:t>
  </x:si>
  <x:si>
    <x:t xml:space="preserve">28/2/2026</x:t>
  </x:si>
  <x:si>
    <x:t xml:space="preserve">Track 1: A multimodal AI application that generates complete LinkedIn launch packages</x:t>
  </x:si>
  <x:si>
    <x:t xml:space="preserve">AI LinkedIn Launch Studio</x:t>
  </x:si>
  <x:si>
    <x:t xml:space="preserve">WaveSpeed AI, Zeabur, Qoder, Insforge</x:t>
  </x:si>
  <x:si>
    <x:t xml:space="preserve">https://github.com/sayyidkhan/agent-forge-track1</x:t>
  </x:si>
  <x:si>
    <x:t xml:space="preserve">https://luma.com/sgaihackthon?tk=9KBC0q</x:t>
  </x:si>
  <x:si>
    <x:t xml:space="preserve">Track 2: Compares two public professional profiles in an anime-style 1vs1 battle.</x:t>
  </x:si>
  <x:si>
    <x:t xml:space="preserve">DevDuel Agent</x:t>
  </x:si>
  <x:si>
    <x:t xml:space="preserve">Bright Data, ActionBook, Acontext</x:t>
  </x:si>
  <x:si>
    <x:t xml:space="preserve">https://github.com/sayyidkhan/agent-forge-track2</x:t>
  </x:si>
  <x:si>
    <x:t xml:space="preserve">SUSS X Openclaw Hackathon 2026</x:t>
  </x:si>
  <x:si>
    <x:t xml:space="preserve">Singapore Opensourced Hub, Wavespeed AI, Minimax, Mem u</x:t>
  </x:si>
  <x:si>
    <x:t xml:space="preserve">13/3/2026</x:t>
  </x:si>
  <x:si>
    <x:t xml:space="preserve">Events</x:t>
  </x:si>
  <x:si>
    <x:t xml:space="preserve">Gigradar - AI agents that discover and verify live events across the internet.</x:t>
  </x:si>
  <x:si>
    <x:t xml:space="preserve">sayyid,Clarence Chan,zhang cheng</x:t>
  </x:si>
  <x:si>
    <x:t xml:space="preserve">Gigradar</x:t>
  </x:si>
  <x:si>
    <x:t xml:space="preserve">SUSS</x:t>
  </x:si>
  <x:si>
    <x:t xml:space="preserve">https://luma.com/sourceawakening?tk=HdsoHg</x:t>
  </x:si>
  <x:si>
    <x:t xml:space="preserve">TinyFish SG Hackathon 2026</x:t>
  </x:si>
  <x:si>
    <x:t xml:space="preserve">TinyFish</x:t>
  </x:si>
  <x:si>
    <x:t xml:space="preserve">28/3/2026</x:t>
  </x:si>
  <x:si>
    <x:t xml:space="preserve">Buzo - Your AI Concierage for live events worldwide</x:t>
  </x:si>
  <x:si>
    <x:t xml:space="preserve">Buzo</x:t>
  </x:si>
  <x:si>
    <x:t xml:space="preserve">https://luma.com/4n1e9si9?tk=I1WSBi</x:t>
  </x:si>
  <x:si>
    <x:t xml:space="preserve">January Capital Hackathon SG 2026</x:t>
  </x:si>
  <x:si>
    <x:t xml:space="preserve">January Capital &amp; OpenAI</x:t>
  </x:si>
  <x:si>
    <x:t xml:space="preserve">Bryan Feedback Agent - An Agent that collects high quailty event feedback after an event</x:t>
  </x:si>
  <x:si>
    <x:t xml:space="preserve">sayyid/Clarence Chan</x:t>
  </x:si>
  <x:si>
    <x:t xml:space="preserve">Bryan Feedback Agent</x:t>
  </x:si>
  <x:si>
    <x:t xml:space="preserve">https://github.com/gigradarapp/gr-bryan-feedback-agent</x:t>
  </x:si>
  <x:si>
    <x:t xml:space="preserve">https://luma.com/wn9f2gta?tk=iqBwSL</x:t>
  </x:si>
  <x:si>
    <x:t xml:space="preserve">Agora.io Voice AI Hackathon Singapore 2026</x:t>
  </x:si>
  <x:si>
    <x:t xml:space="preserve">Agora.io</x:t>
  </x:si>
  <x:si>
    <x:t xml:space="preserve">Agentic AI (Voice), Healthcare</x:t>
  </x:si>
  <x:si>
    <x:t xml:space="preserve">Speak your symptoms. Get your MC. Skip the queue.</x:t>
  </x:si>
  <x:si>
    <x:t xml:space="preserve">Medivoice</x:t>
  </x:si>
  <x:si>
    <x:t xml:space="preserve">Carousell Campus (Regional HQ)</x:t>
  </x:si>
  <x:si>
    <x:t xml:space="preserve">https://github.com/sayyidkhan/agora-medihealth</x:t>
  </x:si>
  <x:si>
    <x:t xml:space="preserve">https://luma.com/89t0ejof?tk=jjk7Rp</x:t>
  </x:si>
  <x:si>
    <x:t xml:space="preserve">MeDo Singapore Vibe Coding Hackathon 2026</x:t>
  </x:si>
  <x:si>
    <x:t xml:space="preserve">MeDo Singapore</x:t>
  </x:si>
  <x:si>
    <x:t xml:space="preserve">18/4/2026</x:t>
  </x:si>
  <x:si>
    <x:t xml:space="preserve">HackAtlas —Mapping the world’s top hackathon builders.</x:t>
  </x:si>
  <x:si>
    <x:t xml:space="preserve">sayyid,zhang cheng, elena xiao</x:t>
  </x:si>
  <x:si>
    <x:t xml:space="preserve">HackAtlas</x:t>
  </x:si>
  <x:si>
    <x:t xml:space="preserve">MeDo</x:t>
  </x:si>
  <x:si>
    <x:t xml:space="preserve">https://devpost.com/software/1248526/joins/rd1pZGiClia_sxEWA0RNJg</x:t>
  </x:si>
  <x:si>
    <x:t xml:space="preserve">https://luma.com/sgvibecodinghackathon?tk=vDly3i</x:t>
  </x:si>
  <x:si>
    <x:t xml:space="preserve">Temasek Hackathon 2026</x:t>
  </x:si>
  <x:si>
    <x:t xml:space="preserve">Temasek, Antrophic, Genspark</x:t>
  </x:si>
  <x:si>
    <x:t xml:space="preserve">24/4/2026</x:t>
  </x:si>
  <x:si>
    <x:t xml:space="preserve">Project Management</x:t>
  </x:si>
  <x:si>
    <x:t xml:space="preserve">AI that detects and fixes workflow bottlenecks</x:t>
  </x:si>
  <x:si>
    <x:t xml:space="preserve">sayyid,shashi,ryan foo</x:t>
  </x:si>
  <x:si>
    <x:t xml:space="preserve">Brain Org</x:t>
  </x:si>
  <x:si>
    <x:t xml:space="preserve">Temasek ShopHouse</x:t>
  </x:si>
  <x:si>
    <x:t xml:space="preserve">https://devfolio.co/projects/ontrack-ai-7d28</x:t>
  </x:si>
  <x:si>
    <x:t xml:space="preserve">https://push-to-prod.devfolio.co/overview</x:t>
  </x:si>
  <x:si>
    <x:t xml:space="preserve">Build Voice Agents with Speechmatics | TGB Buildathon 2026</x:t>
  </x:si>
  <x:si>
    <x:t xml:space="preserve">Speechmatics</x:t>
  </x:si>
  <x:si>
    <x:t xml:space="preserve">29/4/2026</x:t>
  </x:si>
  <x:si>
    <x:t xml:space="preserve">Agentic AI (Voice)</x:t>
  </x:si>
  <x:si>
    <x:t xml:space="preserve">Build Voice Agents with Speechmatics | TGB Buildathon</x:t>
  </x:si>
  <x:si>
    <x:t xml:space="preserve">Guardian Agent</x:t>
  </x:si>
  <x:si>
    <x:t xml:space="preserve">SGInnovate</x:t>
  </x:si>
  <x:si>
    <x:t xml:space="preserve">https://github.com/sayyidkhan/guardian-agent</x:t>
  </x:si>
  <x:si>
    <x:t xml:space="preserve">https://luma.com/tgbspeechmatics1?tk=NaV6RE</x:t>
  </x:si>
  <x:si>
    <x:t xml:space="preserve">Vercel Zero to Agent: Singapore (1 Hr Hackathon) 2026</x:t>
  </x:si>
  <x:si>
    <x:t xml:space="preserve">v0, Vercel</x:t>
  </x:si>
  <x:si>
    <x:t xml:space="preserve">30/4/2026</x:t>
  </x:si>
  <x:si>
    <x:t xml:space="preserve">Game</x:t>
  </x:si>
  <x:si>
    <x:t xml:space="preserve">build the ultimate data center empire</x:t>
  </x:si>
  <x:si>
    <x:t xml:space="preserve">Data Center Tycoon [Web Only]</x:t>
  </x:si>
  <x:si>
    <x:t xml:space="preserve">https://luma.com/bh5iqhnx?tk=17u8ZH</x:t>
  </x:si>
  <x:si>
    <x:t xml:space="preserve">Emergency GPT hackathon 2026</x:t>
  </x:si>
  <x:si>
    <x:t xml:space="preserve">openai</x:t>
  </x:si>
  <x:si>
    <x:t xml:space="preserve">Hours</x:t>
  </x:si>
  <x:si>
    <x:t xml:space="preserve">Buzo (Ai Search) Feature - Personalised Event Searching</x:t>
  </x:si>
  <x:si>
    <x:t xml:space="preserve">Ask Buzo</x:t>
  </x:si>
  <x:si>
    <x:t xml:space="preserve">Open Sourced Café</x:t>
  </x:si>
  <x:si>
    <x:t xml:space="preserve">https://github.com/gigradarapp/gr-ask-buzo</x:t>
  </x:si>
  <x:si>
    <x:t xml:space="preserve">https://luma.com/zprbhtzy?tk=gMcrjt</x:t>
  </x:si>
  <x:si>
    <x:t xml:space="preserve">Vercel Zero to Agent: Global 2026</x:t>
  </x:si>
  <x:si>
    <x:t xml:space="preserve">build the ultimate data center empire (now mobile optimised)</x:t>
  </x:si>
  <x:si>
    <x:t xml:space="preserve">Data Center Tycoon [Web + Mobile Edition]</x:t>
  </x:si>
  <x:si>
    <x:t xml:space="preserve">https://github.com/sayyidkhan/v0-data-center-tycoon</x:t>
  </x:si>
  <x:si>
    <x:t xml:space="preserve">https://community.vercel.com/hackathons/zero-to-agent</x:t>
  </x:si>
  <x:si>
    <x:t xml:space="preserve">aie hackathon 2026</x:t>
  </x:si>
  <x:si>
    <x:t xml:space="preserve">65 labs</x:t>
  </x:si>
  <x:si>
    <x:t xml:space="preserve">build the ultimate data center destroyer</x:t>
  </x:si>
  <x:si>
    <x:t xml:space="preserve">sayyid,hisyam,jazli,hafidz</x:t>
  </x:si>
  <x:si>
    <x:t xml:space="preserve">Data Center Destroyer</x:t>
  </x:si>
  <x:si>
    <x:t xml:space="preserve">https://github.com/sayyidkhan/data-center-destroyer</x:t>
  </x:si>
  <x:si>
    <x:t xml:space="preserve">https://luma.com/aie-hack?tk=6ESqwa</x:t>
  </x:si>
  <x:si>
    <x:t xml:space="preserve">Ralphthon SG 2026</x:t>
  </x:si>
  <x:si>
    <x:t xml:space="preserve">SuperTeam SG,Hashed,Petani</x:t>
  </x:si>
  <x:si>
    <x:t xml:space="preserve">17/5/26</x:t>
  </x:si>
  <x:si>
    <x:t xml:space="preserve">Voice-first backend harness that turns spoken software ideas into structured Codex tasks, then coordinates a builder worker and streams progress back to the user.</x:t>
  </x:si>
  <x:si>
    <x:t xml:space="preserve">Mums Can Build</x:t>
  </x:si>
  <x:si>
    <x:t xml:space="preserve">Suntec Tower 1</x:t>
  </x:si>
  <x:si>
    <x:t xml:space="preserve">https://github.com/sayyidkhan/mums-can-build</x:t>
  </x:si>
  <x:si>
    <x:t xml:space="preserve">https://luma.com/4hx7p0vs?tk=ruRx4s</x:t>
  </x:si>
  <x:si>
    <x:t xml:space="preserve">UCWS 2026 (Semi-Finals)</x:t>
  </x:si>
  <x:si>
    <x:t xml:space="preserve">Epic Connector</x:t>
  </x:si>
  <x:si>
    <x:t xml:space="preserve">1/5/2026 - 30/5/2026</x:t>
  </x:si>
  <x:si>
    <x:t xml:space="preserve">sayyid,Clarence Chan</x:t>
  </x:si>
  <x:si>
    <x:t xml:space="preserve">Buzo 2.0</x:t>
  </x:si>
  <x:si>
    <x:t xml:space="preserve">Super AI Hackathon 2026</x:t>
  </x:si>
  <x:si>
    <x:t xml:space="preserve">9/6/2026 - 11/6/2026</x:t>
  </x:si>
  <x:si>
    <x:t xml:space="preserve">Movie</x:t>
  </x:si>
  <x:si>
    <x:t xml:space="preserve">Agentic AI + VR - Talk to the movie characters</x:t>
  </x:si>
  <x:si>
    <x:t xml:space="preserve">sayyid,Mickael Martin Carapiet,Akdora Celepoglu</x:t>
  </x:si>
  <x:si>
    <x:t xml:space="preserve">SceneVerse AI </x:t>
  </x:si>
  <x:si>
    <x:t xml:space="preserve">SuperAI</x:t>
  </x:si>
  <x:si>
    <x:t xml:space="preserve">https://github.com/sayyidkhan/agentic-vr-frontend</x:t>
  </x:si>
  <x:si>
    <x:t xml:space="preserve">UCWS 2026 (Finals)</x:t>
  </x:si>
  <x:si>
    <x:t xml:space="preserve">13/6/2026</x:t>
  </x:si>
  <x:si>
    <x:t xml:space="preserve">Buzo 2.1</x:t>
  </x:si>
  <x:si>
    <x:t xml:space="preserve">8 George St, Pickering Operations Complex</x:t>
  </x:si>
  <x:si>
    <x:t xml:space="preserve">https://luma.com/UCWS2026?tk=y5h4YG</x:t>
  </x:si>
  <x:si>
    <x:t xml:space="preserve">Zo Computer Jun 2026 Build Challenge</x:t>
  </x:si>
  <x:si>
    <x:t xml:space="preserve">Zo Computer</x:t>
  </x:si>
  <x:si>
    <x:t xml:space="preserve">20 Jun - 21 Jun 2026</x:t>
  </x:si>
  <x:si>
    <x:t xml:space="preserve">productivity</x:t>
  </x:si>
  <x:si>
    <x:t xml:space="preserve">A lightweight storefront and payment-proof order tracker for small businesses, deployed on Zo Computer.</x:t>
  </x:si>
  <x:si>
    <x:t xml:space="preserve">sayyid,Hao Ming,Bruce Chua,aslam</x:t>
  </x:si>
  <x:si>
    <x:t xml:space="preserve">Zo Order Tracker</x:t>
  </x:si>
  <x:si>
    <x:t xml:space="preserve">US</x:t>
  </x:si>
  <x:si>
    <x:t xml:space="preserve">https://github.com/sayyidkhan/zo-order-tracker</x:t>
  </x:si>
  <x:si>
    <x:t xml:space="preserve">https://ambassador.zo.space/build-challenge</x:t>
  </x:si>
  <x:si>
    <x:t xml:space="preserve">Sup Build2026 Hackathon</x:t>
  </x:si>
  <x:si>
    <x:t xml:space="preserve">Sup</x:t>
  </x:si>
  <x:si>
    <x:t xml:space="preserve">27/6/2026</x:t>
  </x:si>
  <x:si>
    <x:t xml:space="preserve">Live career opportunity and relationship mapper powered by OpenAI and Exa</x:t>
  </x:si>
  <x:si>
    <x:t xml:space="preserve">zo relationship mapper</x:t>
  </x:si>
  <x:si>
    <x:t xml:space="preserve">https://github.com/sayyidkhan/zo-relationship-mapper</x:t>
  </x:si>
  <x:si>
    <x:t xml:space="preserve">https://luma.com/zda76sc1?tk=f30DS9</x:t>
  </x:si>
  <x:si>
    <x:t xml:space="preserve">BUIDL_OPC_Hackathon_SG</x:t>
  </x:si>
  <x:si>
    <x:t xml:space="preserve">amber.ac</x:t>
  </x:si>
  <x:si>
    <x:t xml:space="preserve">kingdom of pal: 7 dwarfs and a shiekh, a tool to help maange one person community biz</x:t>
  </x:si>
  <x:si>
    <x:t xml:space="preserve">sayyid,Bruce Chua</x:t>
  </x:si>
  <x:si>
    <x:t xml:space="preserve">Kingdom Of PAL</x:t>
  </x:si>
  <x:si>
    <x:t xml:space="preserve">https://luma.com/r6v3evdi?tk=BuCFqn</x:t>
  </x:si>
  <x:si>
    <x:t xml:space="preserve">Whackathon 2026</x:t>
  </x:si>
  <x:si>
    <x:t xml:space="preserve">Folly</x:t>
  </x:si>
  <x:si>
    <x:t xml:space="preserve">18/7/2026</x:t>
  </x:si>
  <x:si>
    <x:t xml:space="preserve">An adventure game where an alien is trying to find its way home, each map is ai rendered</x:t>
  </x:si>
  <x:si>
    <x:t xml:space="preserve">Alien Homecoming</x:t>
  </x:si>
  <x:si>
    <x:t xml:space="preserve">Terra Loft</x:t>
  </x:si>
  <x:si>
    <x:t xml:space="preserve">https://github.com/sayyidkhan/alien-homecoming</x:t>
  </x:si>
  <x:si>
    <x:t xml:space="preserve">https://luma.com/68nouvl9?tk=yuORah</x:t>
  </x:si>
  <x:si>
    <x:t xml:space="preserve">Zo Computer Jul 2026 Build Challenge (Kill your SaaS)</x:t>
  </x:si>
  <x:si>
    <x:t xml:space="preserve">15 Jul - 25 Jul 2026</x:t>
  </x:si>
  <x:si>
    <x:t xml:space="preserve">Infra</x:t>
  </x:si>
  <x:si>
    <x:t xml:space="preserve">clone google drive together with other commonly used infra features</x:t>
  </x:si>
  <x:si>
    <x:t xml:space="preserve">Zo Drive</x:t>
  </x:si>
  <x:si>
    <x:t xml:space="preserve">https://github.com/sayyidkhan/zo-drive</x:t>
  </x:si>
  <x:si>
    <x:t xml:space="preserve">Google Buildathon 2026 (Theme: The Cooperate Telepath)</x:t>
  </x:si>
  <x:si>
    <x:t xml:space="preserve">Google</x:t>
  </x:si>
  <x:si>
    <x:t xml:space="preserve">Translating stakeholder dreams into user reality. A multi-agent feature stress-tester powered by Google ADK and Gemini.</x:t>
  </x:si>
  <x:si>
    <x:t xml:space="preserve">The Cooperate Telepath</x:t>
  </x:si>
  <x:si>
    <x:t xml:space="preserve">https://github.com/sayyidkhan/the-corporate-telepath</x:t>
  </x:si>
  <x:si>
    <x:t xml:space="preserve">One AI Hackathon 2026</x:t>
  </x:si>
  <x:si>
    <x:t xml:space="preserve">CybrDeck</x:t>
  </x:si>
  <x:si>
    <x:t xml:space="preserve">15/08/2026</x:t>
  </x:si>
  <x:si>
    <x:t xml:space="preserve">Family Office</x:t>
  </x:si>
  <x:si>
    <x:t xml:space="preserve">An Agentic Family Office for the nightlife and culture economy</x:t>
  </x:si>
  <x:si>
    <x:t xml:space="preserve">sayyid, clarence</x:t>
  </x:si>
  <x:si>
    <x:t xml:space="preserve">Buzo Atlas</x:t>
  </x:si>
  <x:si>
    <x:t xml:space="preserve">Kent Ridge, Block 71</x:t>
  </x:si>
  <x:si>
    <x:t xml:space="preserve">https://github.com/gigradarapp/gr-atlas</x:t>
  </x:si>
  <x:si>
    <x:t xml:space="preserve">https://luma.com/e9h4kv5k?tk=lzXXdx</x:t>
  </x:si>
  <x:si>
    <x:t xml:space="preserve">Build with Gemini Hackathon 2026</x:t>
  </x:si>
  <x:si>
    <x:t xml:space="preserve">65labs, Google, Lorong AI</x:t>
  </x:si>
  <x:si>
    <x:t xml:space="preserve">22/08/2026</x:t>
  </x:si>
  <x:si>
    <x:t xml:space="preserve">Embedded Models</x:t>
  </x:si>
  <x:si>
    <x:t xml:space="preserve">A local-first city-management game where players govern Innovation City with Gemma as an on-device chief of staff for incident triage, guardrails, and scenario stress-testing.</x:t>
  </x:si>
  <x:si>
    <x:t xml:space="preserve">Agrim Tycoon</x:t>
  </x:si>
  <x:si>
    <x:t xml:space="preserve">Google DeepMind</x:t>
  </x:si>
  <x:si>
    <x:t xml:space="preserve">Lorong AI @ One-North</x:t>
  </x:si>
  <x:si>
    <x:t xml:space="preserve">https://github.com/sayyidkhan/agrim-tycoon</x:t>
  </x:si>
  <x:si>
    <x:t xml:space="preserve">https://luma.com/deepmind-v4ci?tk=LBgGrm</x:t>
  </x:si>
  <x:si>
    <x:t xml:space="preserve">Zo Build Challenge</x:t>
  </x:si>
  <x:si>
    <x:t xml:space="preserve">1st Aug - 31st Aug 2026</x:t>
  </x:si>
  <x:si>
    <x:t xml:space="preserve">Build for Someone Else</x:t>
  </x:si>
  <x:si>
    <x:t xml:space="preserve">A personal memory experience built for someone else.</x:t>
  </x:si>
  <x:si>
    <x:t xml:space="preserve">Zo Memories</x:t>
  </x:si>
  <x:si>
    <x:t xml:space="preserve">https://github.com/sayyidkhan/zo-memories</x:t>
  </x:si>
  <x:si>
    <x:t xml:space="preserve">ChatGPT Sites Hackathon</x:t>
  </x:si>
  <x:si>
    <x:t xml:space="preserve">OpenAI, Gabriel Chua, Brian Chew, Zane Chee, Sherry Jiang</x:t>
  </x:si>
  <x:si>
    <x:t xml:space="preserve">02/09/2026</x:t>
  </x:si>
  <x:si>
    <x:t xml:space="preserve">ChatGPT Sites</x:t>
  </x:si>
  <x:si>
    <x:t xml:space="preserve">PeterIndex is a relationship-intelligence tool that remembers people, context, and loose threads, then surfaces warm paths to the next opportunity.</x:t>
  </x:si>
  <x:si>
    <x:t xml:space="preserve">sayyid, han</x:t>
  </x:si>
  <x:si>
    <x:t xml:space="preserve">PeterIndex</x:t>
  </x:si>
  <x:si>
    <x:t xml:space="preserve">OpenAI</x:t>
  </x:si>
  <x:si>
    <x:t xml:space="preserve">https://github.com/sayyidkhan/peterindex</x:t>
  </x:si>
  <x:si>
    <x:t xml:space="preserve">https://luma.com/yqq0zo50?tk=kakZ3u</x:t>
  </x:si>
  <x:si>
    <x:t xml:space="preserve">People &amp; LinkedIn Directory</x:t>
  </x:si>
  <x:si>
    <x:t xml:space="preserve">One person per row. LinkedIn URLs are added only after the profile has been verified against the hackathon context.</x:t>
  </x:si>
  <x:si>
    <x:t xml:space="preserve">Person ID</x:t>
  </x:si>
  <x:si>
    <x:t xml:space="preserve">Name</x:t>
  </x:si>
  <x:si>
    <x:t xml:space="preserve">Hackathon #s</x:t>
  </x:si>
  <x:si>
    <x:t xml:space="preserve">Builds Together</x:t>
  </x:si>
  <x:si>
    <x:t xml:space="preserve">LinkedIn URL</x:t>
  </x:si>
  <x:si>
    <x:t xml:space="preserve">P001</x:t>
  </x:si>
  <x:si>
    <x:t xml:space="preserve">Aaron Gong</x:t>
  </x:si>
  <x:si>
    <x:t xml:space="preserve">#004, #006</x:t>
  </x:si>
  <x:si>
    <x:t xml:space="preserve">https://www.linkedin.com/in/aaronjxz/</x:t>
  </x:si>
  <x:si>
    <x:t xml:space="preserve">P002</x:t>
  </x:si>
  <x:si>
    <x:t xml:space="preserve">Adib Yusof</x:t>
  </x:si>
  <x:si>
    <x:t xml:space="preserve">#035</x:t>
  </x:si>
  <x:si>
    <x:t xml:space="preserve">https://www.linkedin.com/in/adibyusof/</x:t>
  </x:si>
  <x:si>
    <x:t xml:space="preserve">P003</x:t>
  </x:si>
  <x:si>
    <x:t xml:space="preserve">ajentik</x:t>
  </x:si>
  <x:si>
    <x:t xml:space="preserve">#045</x:t>
  </x:si>
  <x:si>
    <x:t xml:space="preserve">P004</x:t>
  </x:si>
  <x:si>
    <x:t xml:space="preserve">Akdora Celepoglu</x:t>
  </x:si>
  <x:si>
    <x:t xml:space="preserve">#067</x:t>
  </x:si>
  <x:si>
    <x:t xml:space="preserve">https://www.linkedin.com/in/-akdora/</x:t>
  </x:si>
  <x:si>
    <x:t xml:space="preserve">P005</x:t>
  </x:si>
  <x:si>
    <x:t xml:space="preserve">Ali Marzuki</x:t>
  </x:si>
  <x:si>
    <x:t xml:space="preserve">https://www.linkedin.com/in/ali-marzuki-48266542/</x:t>
  </x:si>
  <x:si>
    <x:t xml:space="preserve">P006</x:t>
  </x:si>
  <x:si>
    <x:t xml:space="preserve">Ann</x:t>
  </x:si>
  <x:si>
    <x:t xml:space="preserve">#007</x:t>
  </x:si>
  <x:si>
    <x:t xml:space="preserve">P007</x:t>
  </x:si>
  <x:si>
    <x:t xml:space="preserve">Anna Tantushyan</x:t>
  </x:si>
  <x:si>
    <x:t xml:space="preserve">#009</x:t>
  </x:si>
  <x:si>
    <x:t xml:space="preserve">https://www.linkedin.com/in/annatantushyan/</x:t>
  </x:si>
  <x:si>
    <x:t xml:space="preserve">P008</x:t>
  </x:si>
  <x:si>
    <x:t xml:space="preserve">Arav Behl</x:t>
  </x:si>
  <x:si>
    <x:t xml:space="preserve">#034</x:t>
  </x:si>
  <x:si>
    <x:t xml:space="preserve">https://www.linkedin.com/in/arav-behl/</x:t>
  </x:si>
  <x:si>
    <x:t xml:space="preserve">P009</x:t>
  </x:si>
  <x:si>
    <x:t xml:space="preserve">Arthur</x:t>
  </x:si>
  <x:si>
    <x:t xml:space="preserve">#026</x:t>
  </x:si>
  <x:si>
    <x:t xml:space="preserve">P010</x:t>
  </x:si>
  <x:si>
    <x:t xml:space="preserve">Aseem Wangoo</x:t>
  </x:si>
  <x:si>
    <x:t xml:space="preserve">https://www.linkedin.com/in/aseemwangoo/</x:t>
  </x:si>
  <x:si>
    <x:t xml:space="preserve">P011</x:t>
  </x:si>
  <x:si>
    <x:t xml:space="preserve">Ashraf</x:t>
  </x:si>
  <x:si>
    <x:t xml:space="preserve">#027</x:t>
  </x:si>
  <x:si>
    <x:t xml:space="preserve">P012</x:t>
  </x:si>
  <x:si>
    <x:t xml:space="preserve">aslam</x:t>
  </x:si>
  <x:si>
    <x:t xml:space="preserve">#069</x:t>
  </x:si>
  <x:si>
    <x:t xml:space="preserve">https://www.linkedin.com/in/mohamed-aslam-abdul/</x:t>
  </x:si>
  <x:si>
    <x:t xml:space="preserve">P013</x:t>
  </x:si>
  <x:si>
    <x:t xml:space="preserve">Balint</x:t>
  </x:si>
  <x:si>
    <x:t xml:space="preserve">#019</x:t>
  </x:si>
  <x:si>
    <x:t xml:space="preserve">P014</x:t>
  </x:si>
  <x:si>
    <x:t xml:space="preserve">Benjamin Chong</x:t>
  </x:si>
  <x:si>
    <x:t xml:space="preserve">#018</x:t>
  </x:si>
  <x:si>
    <x:t xml:space="preserve">https://www.linkedin.com/in/chongmunhou/</x:t>
  </x:si>
  <x:si>
    <x:t xml:space="preserve">P015</x:t>
  </x:si>
  <x:si>
    <x:t xml:space="preserve">Bobby Lim</x:t>
  </x:si>
  <x:si>
    <x:t xml:space="preserve">#016, #028</x:t>
  </x:si>
  <x:si>
    <x:t xml:space="preserve">https://www.linkedin.com/in/bobbylim93/</x:t>
  </x:si>
  <x:si>
    <x:t xml:space="preserve">P016</x:t>
  </x:si>
  <x:si>
    <x:t xml:space="preserve">brian</x:t>
  </x:si>
  <x:si>
    <x:t xml:space="preserve">#046</x:t>
  </x:si>
  <x:si>
    <x:t xml:space="preserve">P017</x:t>
  </x:si>
  <x:si>
    <x:t xml:space="preserve">Bruce Chua</x:t>
  </x:si>
  <x:si>
    <x:t xml:space="preserve">https://www.linkedin.com/in/bruce-chua-28832a414/</x:t>
  </x:si>
  <x:si>
    <x:t xml:space="preserve">P018</x:t>
  </x:si>
  <x:si>
    <x:t xml:space="preserve">Celine Lim</x:t>
  </x:si>
  <x:si>
    <x:t xml:space="preserve">#008</x:t>
  </x:si>
  <x:si>
    <x:t xml:space="preserve">P019</x:t>
  </x:si>
  <x:si>
    <x:t xml:space="preserve">Cheryl</x:t>
  </x:si>
  <x:si>
    <x:t xml:space="preserve">#001</x:t>
  </x:si>
  <x:si>
    <x:t xml:space="preserve">P020</x:t>
  </x:si>
  <x:si>
    <x:t xml:space="preserve">Clarence Chan</x:t>
  </x:si>
  <x:si>
    <x:t xml:space="preserve">https://www.linkedin.com/in/clarencechanxy/</x:t>
  </x:si>
  <x:si>
    <x:t xml:space="preserve">P021</x:t>
  </x:si>
  <x:si>
    <x:t xml:space="preserve">https://www.linkedin.com/in/clement-lork/</x:t>
  </x:si>
  <x:si>
    <x:t xml:space="preserve">P022</x:t>
  </x:si>
  <x:si>
    <x:t xml:space="preserve">cy</x:t>
  </x:si>
  <x:si>
    <x:t xml:space="preserve">P023</x:t>
  </x:si>
  <x:si>
    <x:t xml:space="preserve">Daryll</x:t>
  </x:si>
  <x:si>
    <x:t xml:space="preserve">#012</x:t>
  </x:si>
  <x:si>
    <x:t xml:space="preserve">P024</x:t>
  </x:si>
  <x:si>
    <x:t xml:space="preserve">David 01-02</x:t>
  </x:si>
  <x:si>
    <x:t xml:space="preserve">#001, #002</x:t>
  </x:si>
  <x:si>
    <x:t xml:space="preserve">P025</x:t>
  </x:si>
  <x:si>
    <x:t xml:space="preserve">David 21-23-24-25</x:t>
  </x:si>
  <x:si>
    <x:t xml:space="preserve">#021, #023, #024, #025</x:t>
  </x:si>
  <x:si>
    <x:t xml:space="preserve">P026</x:t>
  </x:si>
  <x:si>
    <x:t xml:space="preserve">Edward</x:t>
  </x:si>
  <x:si>
    <x:t xml:space="preserve">P027</x:t>
  </x:si>
  <x:si>
    <x:t xml:space="preserve">Eileen Chua</x:t>
  </x:si>
  <x:si>
    <x:t xml:space="preserve">https://www.linkedin.com/in/eileenchua926/</x:t>
  </x:si>
  <x:si>
    <x:t xml:space="preserve">P028</x:t>
  </x:si>
  <x:si>
    <x:t xml:space="preserve">elena xiao</x:t>
  </x:si>
  <x:si>
    <x:t xml:space="preserve">#058</x:t>
  </x:si>
  <x:si>
    <x:t xml:space="preserve">https://www.linkedin.com/in/xiao-elena/</x:t>
  </x:si>
  <x:si>
    <x:t xml:space="preserve">P029</x:t>
  </x:si>
  <x:si>
    <x:t xml:space="preserve">Eric</x:t>
  </x:si>
  <x:si>
    <x:t xml:space="preserve">P030</x:t>
  </x:si>
  <x:si>
    <x:t xml:space="preserve">Evan</x:t>
  </x:si>
  <x:si>
    <x:t xml:space="preserve">#020</x:t>
  </x:si>
  <x:si>
    <x:t xml:space="preserve">P031</x:t>
  </x:si>
  <x:si>
    <x:t xml:space="preserve">Gaille Teo</x:t>
  </x:si>
  <x:si>
    <x:t xml:space="preserve">#003</x:t>
  </x:si>
  <x:si>
    <x:t xml:space="preserve">https://www.linkedin.com/in/gaille-teo/</x:t>
  </x:si>
  <x:si>
    <x:t xml:space="preserve">P032</x:t>
  </x:si>
  <x:si>
    <x:t xml:space="preserve">Gayan Wiharagoda</x:t>
  </x:si>
  <x:si>
    <x:t xml:space="preserve">#006</x:t>
  </x:si>
  <x:si>
    <x:t xml:space="preserve">https://www.linkedin.com/in/gayanwiharagoda/</x:t>
  </x:si>
  <x:si>
    <x:t xml:space="preserve">P033</x:t>
  </x:si>
  <x:si>
    <x:t xml:space="preserve">Gene</x:t>
  </x:si>
  <x:si>
    <x:t xml:space="preserve">#010</x:t>
  </x:si>
  <x:si>
    <x:t xml:space="preserve">P034</x:t>
  </x:si>
  <x:si>
    <x:t xml:space="preserve">Gia</x:t>
  </x:si>
  <x:si>
    <x:t xml:space="preserve">P035</x:t>
  </x:si>
  <x:si>
    <x:t xml:space="preserve">Hafidz</x:t>
  </x:si>
  <x:si>
    <x:t xml:space="preserve">#040, #044, #064</x:t>
  </x:si>
  <x:si>
    <x:t xml:space="preserve">P036</x:t>
  </x:si>
  <x:si>
    <x:t xml:space="preserve">Hakam</x:t>
  </x:si>
  <x:si>
    <x:t xml:space="preserve">#031</x:t>
  </x:si>
  <x:si>
    <x:t xml:space="preserve">https://www.linkedin.com/in/abdul-hakam-bin-nor-razak-nus/</x:t>
  </x:si>
  <x:si>
    <x:t xml:space="preserve">P037</x:t>
  </x:si>
  <x:si>
    <x:t xml:space="preserve">Hakim</x:t>
  </x:si>
  <x:si>
    <x:t xml:space="preserve">https://www.linkedin.com/in/akmal-hakim-teo/</x:t>
  </x:si>
  <x:si>
    <x:t xml:space="preserve">P038</x:t>
  </x:si>
  <x:si>
    <x:t xml:space="preserve">Haley</x:t>
  </x:si>
  <x:si>
    <x:t xml:space="preserve">#030</x:t>
  </x:si>
  <x:si>
    <x:t xml:space="preserve">P039</x:t>
  </x:si>
  <x:si>
    <x:t xml:space="preserve">Hao Ming</x:t>
  </x:si>
  <x:si>
    <x:t xml:space="preserve">P040</x:t>
  </x:si>
  <x:si>
    <x:t xml:space="preserve">Hazni</x:t>
  </x:si>
  <x:si>
    <x:t xml:space="preserve">https://www.linkedin.com/in/hazniaris/</x:t>
  </x:si>
  <x:si>
    <x:t xml:space="preserve">P041</x:t>
  </x:si>
  <x:si>
    <x:t xml:space="preserve">Hendry</x:t>
  </x:si>
  <x:si>
    <x:t xml:space="preserve">#011</x:t>
  </x:si>
  <x:si>
    <x:t xml:space="preserve">P042</x:t>
  </x:si>
  <x:si>
    <x:t xml:space="preserve">Heng Pei</x:t>
  </x:si>
  <x:si>
    <x:t xml:space="preserve">P043</x:t>
  </x:si>
  <x:si>
    <x:t xml:space="preserve">Hilsann Yong</x:t>
  </x:si>
  <x:si>
    <x:t xml:space="preserve">https://www.linkedin.com/in/hilsannyong/</x:t>
  </x:si>
  <x:si>
    <x:t xml:space="preserve">P044</x:t>
  </x:si>
  <x:si>
    <x:t xml:space="preserve">Hisyam</x:t>
  </x:si>
  <x:si>
    <x:t xml:space="preserve">#040, #044, #049, #052, #053, #064</x:t>
  </x:si>
  <x:si>
    <x:t xml:space="preserve">https://www.linkedin.com/in/hisyamj/</x:t>
  </x:si>
  <x:si>
    <x:t xml:space="preserve">P045</x:t>
  </x:si>
  <x:si>
    <x:t xml:space="preserve">Hong Wei</x:t>
  </x:si>
  <x:si>
    <x:t xml:space="preserve">#014</x:t>
  </x:si>
  <x:si>
    <x:t xml:space="preserve">P046</x:t>
  </x:si>
  <x:si>
    <x:t xml:space="preserve">Ilas</x:t>
  </x:si>
  <x:si>
    <x:t xml:space="preserve">P047</x:t>
  </x:si>
  <x:si>
    <x:t xml:space="preserve">Iskandar Zulkarnain</x:t>
  </x:si>
  <x:si>
    <x:t xml:space="preserve">#031, #032</x:t>
  </x:si>
  <x:si>
    <x:t xml:space="preserve">https://www.linkedin.com/in/is-z23/</x:t>
  </x:si>
  <x:si>
    <x:t xml:space="preserve">P048</x:t>
  </x:si>
  <x:si>
    <x:t xml:space="preserve">ivan</x:t>
  </x:si>
  <x:si>
    <x:t xml:space="preserve">#039</x:t>
  </x:si>
  <x:si>
    <x:t xml:space="preserve">https://www.linkedin.com/in/ivan-hong-24a83315a/</x:t>
  </x:si>
  <x:si>
    <x:t xml:space="preserve">P049</x:t>
  </x:si>
  <x:si>
    <x:t xml:space="preserve">Jason Choo Yan Sheng</x:t>
  </x:si>
  <x:si>
    <x:t xml:space="preserve">#015, #020, #027, #028</x:t>
  </x:si>
  <x:si>
    <x:t xml:space="preserve">https://www.linkedin.com/in/chooyansheng/</x:t>
  </x:si>
  <x:si>
    <x:t xml:space="preserve">P050</x:t>
  </x:si>
  <x:si>
    <x:t xml:space="preserve">Jay</x:t>
  </x:si>
  <x:si>
    <x:t xml:space="preserve">#017</x:t>
  </x:si>
  <x:si>
    <x:t xml:space="preserve">P051</x:t>
  </x:si>
  <x:si>
    <x:t xml:space="preserve">jazli</x:t>
  </x:si>
  <x:si>
    <x:t xml:space="preserve">#064</x:t>
  </x:si>
  <x:si>
    <x:t xml:space="preserve">https://www.linkedin.com/in/ahmad-jazli/</x:t>
  </x:si>
  <x:si>
    <x:t xml:space="preserve">P052</x:t>
  </x:si>
  <x:si>
    <x:t xml:space="preserve">Jet New</x:t>
  </x:si>
  <x:si>
    <x:t xml:space="preserve">#013</x:t>
  </x:si>
  <x:si>
    <x:t xml:space="preserve">https://www.linkedin.com/in/jetnew/</x:t>
  </x:si>
  <x:si>
    <x:t xml:space="preserve">P053</x:t>
  </x:si>
  <x:si>
    <x:t xml:space="preserve">Jimmy Peh</x:t>
  </x:si>
  <x:si>
    <x:t xml:space="preserve">#033</x:t>
  </x:si>
  <x:si>
    <x:t xml:space="preserve">https://www.linkedin.com/in/jimmy-peh-95202251/</x:t>
  </x:si>
  <x:si>
    <x:t xml:space="preserve">P054</x:t>
  </x:si>
  <x:si>
    <x:t xml:space="preserve">Joewin Tan</x:t>
  </x:si>
  <x:si>
    <x:t xml:space="preserve">#036, #037, #038</x:t>
  </x:si>
  <x:si>
    <x:t xml:space="preserve">https://www.linkedin.com/in/joewin-tan-speaker-and-business-owner/</x:t>
  </x:si>
  <x:si>
    <x:t xml:space="preserve">P055</x:t>
  </x:si>
  <x:si>
    <x:t xml:space="preserve">jun kai</x:t>
  </x:si>
  <x:si>
    <x:t xml:space="preserve">P056</x:t>
  </x:si>
  <x:si>
    <x:t xml:space="preserve">Jun Ting</x:t>
  </x:si>
  <x:si>
    <x:t xml:space="preserve">P057</x:t>
  </x:si>
  <x:si>
    <x:t xml:space="preserve">Kamil</x:t>
  </x:si>
  <x:si>
    <x:t xml:space="preserve">P058</x:t>
  </x:si>
  <x:si>
    <x:t xml:space="preserve">Kang Liang Koh</x:t>
  </x:si>
  <x:si>
    <x:t xml:space="preserve">https://www.linkedin.com/in/klkoh/</x:t>
  </x:si>
  <x:si>
    <x:t xml:space="preserve">P059</x:t>
  </x:si>
  <x:si>
    <x:t xml:space="preserve">Kashif</x:t>
  </x:si>
  <x:si>
    <x:t xml:space="preserve">P060</x:t>
  </x:si>
  <x:si>
    <x:t xml:space="preserve">Kenneth</x:t>
  </x:si>
  <x:si>
    <x:t xml:space="preserve">#024</x:t>
  </x:si>
  <x:si>
    <x:t xml:space="preserve">P061</x:t>
  </x:si>
  <x:si>
    <x:t xml:space="preserve">Kyren</x:t>
  </x:si>
  <x:si>
    <x:t xml:space="preserve">#023</x:t>
  </x:si>
  <x:si>
    <x:t xml:space="preserve">P062</x:t>
  </x:si>
  <x:si>
    <x:t xml:space="preserve">Leon</x:t>
  </x:si>
  <x:si>
    <x:t xml:space="preserve">P063</x:t>
  </x:si>
  <x:si>
    <x:t xml:space="preserve">Lester Cheong</x:t>
  </x:si>
  <x:si>
    <x:t xml:space="preserve">https://www.linkedin.com/in/lester-cheong-a29a4a209/</x:t>
  </x:si>
  <x:si>
    <x:t xml:space="preserve">P064</x:t>
  </x:si>
  <x:si>
    <x:t xml:space="preserve">Lucas Grey</x:t>
  </x:si>
  <x:si>
    <x:t xml:space="preserve">https://www.linkedin.com/in/lucasgrey/</x:t>
  </x:si>
  <x:si>
    <x:t xml:space="preserve">P065</x:t>
  </x:si>
  <x:si>
    <x:t xml:space="preserve">Manas</x:t>
  </x:si>
  <x:si>
    <x:t xml:space="preserve">P066</x:t>
  </x:si>
  <x:si>
    <x:t xml:space="preserve">marcus</x:t>
  </x:si>
  <x:si>
    <x:t xml:space="preserve">P067</x:t>
  </x:si>
  <x:si>
    <x:t xml:space="preserve">Mathilde Gaucher</x:t>
  </x:si>
  <x:si>
    <x:t xml:space="preserve">#005</x:t>
  </x:si>
  <x:si>
    <x:t xml:space="preserve">P068</x:t>
  </x:si>
  <x:si>
    <x:t xml:space="preserve">Matthew Tan</x:t>
  </x:si>
  <x:si>
    <x:t xml:space="preserve">#012, #017, #021, #023, #024, #025, #029</x:t>
  </x:si>
  <x:si>
    <x:t xml:space="preserve">https://www.linkedin.com/in/tthmatt/</x:t>
  </x:si>
  <x:si>
    <x:t xml:space="preserve">P069</x:t>
  </x:si>
  <x:si>
    <x:t xml:space="preserve">Maureen</x:t>
  </x:si>
  <x:si>
    <x:t xml:space="preserve">#028</x:t>
  </x:si>
  <x:si>
    <x:t xml:space="preserve">https://www.linkedin.com/in/maureen-tan/</x:t>
  </x:si>
  <x:si>
    <x:t xml:space="preserve">P070</x:t>
  </x:si>
  <x:si>
    <x:t xml:space="preserve">Mickael Martin Carapiet</x:t>
  </x:si>
  <x:si>
    <x:t xml:space="preserve">https://www.linkedin.com/in/mickaelcarapiet/</x:t>
  </x:si>
  <x:si>
    <x:t xml:space="preserve">P071</x:t>
  </x:si>
  <x:si>
    <x:t xml:space="preserve">Mortiz</x:t>
  </x:si>
  <x:si>
    <x:t xml:space="preserve">P072</x:t>
  </x:si>
  <x:si>
    <x:t xml:space="preserve">Nicholas Ling</x:t>
  </x:si>
  <x:si>
    <x:t xml:space="preserve">https://www.linkedin.com/in/nicholas-ling/</x:t>
  </x:si>
  <x:si>
    <x:t xml:space="preserve">P073</x:t>
  </x:si>
  <x:si>
    <x:t xml:space="preserve">Raimie Tang</x:t>
  </x:si>
  <x:si>
    <x:t xml:space="preserve">https://www.linkedin.com/in/raimie-tang/</x:t>
  </x:si>
  <x:si>
    <x:t xml:space="preserve">P074</x:t>
  </x:si>
  <x:si>
    <x:t xml:space="preserve">Roger</x:t>
  </x:si>
  <x:si>
    <x:t xml:space="preserve">https://www.linkedin.com/in/rogerdo/</x:t>
  </x:si>
  <x:si>
    <x:t xml:space="preserve">P075</x:t>
  </x:si>
  <x:si>
    <x:t xml:space="preserve">Ryan</x:t>
  </x:si>
  <x:si>
    <x:t xml:space="preserve">P076</x:t>
  </x:si>
  <x:si>
    <x:t xml:space="preserve">ryan foo</x:t>
  </x:si>
  <x:si>
    <x:t xml:space="preserve">#059</x:t>
  </x:si>
  <x:si>
    <x:t xml:space="preserve">https://www.linkedin.com/in/foo-ryan/</x:t>
  </x:si>
  <x:si>
    <x:t xml:space="preserve">P077</x:t>
  </x:si>
  <x:si>
    <x:t xml:space="preserve">https://www.linkedin.com/in/sayyidkhan92/</x:t>
  </x:si>
  <x:si>
    <x:t xml:space="preserve">P078</x:t>
  </x:si>
  <x:si>
    <x:t xml:space="preserve">shashi</x:t>
  </x:si>
  <x:si>
    <x:t xml:space="preserve">#044, #046, #049, #050, #051, #052, #053, #059</x:t>
  </x:si>
  <x:si>
    <x:t xml:space="preserve">https://www.linkedin.com/in/shashiguru-keluth-765129154/</x:t>
  </x:si>
  <x:si>
    <x:t xml:space="preserve">P079</x:t>
  </x:si>
  <x:si>
    <x:t xml:space="preserve">Shi Yang</x:t>
  </x:si>
  <x:si>
    <x:t xml:space="preserve">P080</x:t>
  </x:si>
  <x:si>
    <x:t xml:space="preserve">Sin Mei Chong</x:t>
  </x:si>
  <x:si>
    <x:t xml:space="preserve">#029</x:t>
  </x:si>
  <x:si>
    <x:t xml:space="preserve">P081</x:t>
  </x:si>
  <x:si>
    <x:t xml:space="preserve">Singaram</x:t>
  </x:si>
  <x:si>
    <x:t xml:space="preserve">https://www.linkedin.com/in/r-singaram-047415b0/</x:t>
  </x:si>
  <x:si>
    <x:t xml:space="preserve">P082</x:t>
  </x:si>
  <x:si>
    <x:t xml:space="preserve">Sofia Kung</x:t>
  </x:si>
  <x:si>
    <x:t xml:space="preserve">#048</x:t>
  </x:si>
  <x:si>
    <x:t xml:space="preserve">https://www.linkedin.com/in/sofiakung/</x:t>
  </x:si>
  <x:si>
    <x:t xml:space="preserve">P083</x:t>
  </x:si>
  <x:si>
    <x:t xml:space="preserve">syabiqah phang</x:t>
  </x:si>
  <x:si>
    <x:t xml:space="preserve">#015</x:t>
  </x:si>
  <x:si>
    <x:t xml:space="preserve">https://www.linkedin.com/in/syabiqah-phang/</x:t>
  </x:si>
  <x:si>
    <x:t xml:space="preserve">P084</x:t>
  </x:si>
  <x:si>
    <x:t xml:space="preserve">Terry</x:t>
  </x:si>
  <x:si>
    <x:t xml:space="preserve">P085</x:t>
  </x:si>
  <x:si>
    <x:t xml:space="preserve">Timothy John</x:t>
  </x:si>
  <x:si>
    <x:t xml:space="preserve">P086</x:t>
  </x:si>
  <x:si>
    <x:t xml:space="preserve">Wan Wei</x:t>
  </x:si>
  <x:si>
    <x:t xml:space="preserve">https://www.linkedin.com/in/sohwanwei/</x:t>
  </x:si>
  <x:si>
    <x:t xml:space="preserve">P087</x:t>
  </x:si>
  <x:si>
    <x:t xml:space="preserve">Willie</x:t>
  </x:si>
  <x:si>
    <x:t xml:space="preserve">#016</x:t>
  </x:si>
  <x:si>
    <x:t xml:space="preserve">P088</x:t>
  </x:si>
  <x:si>
    <x:t xml:space="preserve">Wilson Chua</x:t>
  </x:si>
  <x:si>
    <x:t xml:space="preserve">#003, #004, #006</x:t>
  </x:si>
  <x:si>
    <x:t xml:space="preserve">https://www.linkedin.com/in/wilsonchua/</x:t>
  </x:si>
  <x:si>
    <x:t xml:space="preserve">P089</x:t>
  </x:si>
  <x:si>
    <x:t xml:space="preserve">Xiao Heng</x:t>
  </x:si>
  <x:si>
    <x:t xml:space="preserve">P090</x:t>
  </x:si>
  <x:si>
    <x:t xml:space="preserve">Yishu See</x:t>
  </x:si>
  <x:si>
    <x:t xml:space="preserve">https://www.linkedin.com/in/yishu-see/</x:t>
  </x:si>
  <x:si>
    <x:t xml:space="preserve">P091</x:t>
  </x:si>
  <x:si>
    <x:t xml:space="preserve">Yu Ning</x:t>
  </x:si>
  <x:si>
    <x:t xml:space="preserve">P092</x:t>
  </x:si>
  <x:si>
    <x:t xml:space="preserve">zhang cheng</x:t>
  </x:si>
  <x:si>
    <x:t xml:space="preserve">#054, #055, #058, #062</x:t>
  </x:si>
  <x:si>
    <x:t xml:space="preserve">https://www.linkedin.com/in/zhangcheng1997/</x:t>
  </x:si>
  <x:si>
    <x:t xml:space="preserve">P093</x:t>
  </x:si>
  <x:si>
    <x:t xml:space="preserve">Zi Cing Sim</x:t>
  </x:si>
  <x:si>
    <x:t xml:space="preserve">https://www.linkedin.com/in/simzicing/</x:t>
  </x:si>
  <x:si>
    <x:t xml:space="preserve">P094</x:t>
  </x:si>
  <x:si>
    <x:t xml:space="preserve">Han</x:t>
  </x:si>
  <x:si>
    <x:t xml:space="preserve">#078</x:t>
  </x:si>
  <x:si>
    <x:t xml:space="preserve">Socials by Hackathon</x:t>
  </x:si>
  <x:si>
    <x:t xml:space="preserve">Theme category map</x:t>
  </x:si>
  <x:si>
    <x:t xml:space="preserve">Keep detailed themes in the Hackathons sheet. Update this map to control the general-category dashboard; unmapped themes appear as Unclassified.</x:t>
  </x:si>
  <x:si>
    <x:t xml:space="preserve">Raw Theme</x:t>
  </x:si>
  <x:si>
    <x:t xml:space="preserve">General Category</x:t>
  </x:si>
  <x:si>
    <x:t xml:space="preserve">Notes</x:t>
  </x:si>
  <x:si>
    <x:t xml:space="preserve">Consumer &amp; Lifestyle</x:t>
  </x:si>
  <x:si>
    <x:t xml:space="preserve">Creative &amp; Play</x:t>
  </x:si>
  <x:si>
    <x:t xml:space="preserve">AI &amp; Data</x:t>
  </x:si>
  <x:si>
    <x:t xml:space="preserve">Emerging Tech</x:t>
  </x:si>
  <x:si>
    <x:t xml:space="preserve">Open / Experimental</x:t>
  </x:si>
  <x:si>
    <x:t xml:space="preserve">Event-specific prompt</x:t>
  </x:si>
  <x:si>
    <x:t xml:space="preserve">Data Analytics</x:t>
  </x:si>
  <x:si>
    <x:t xml:space="preserve">Delivery</x:t>
  </x:si>
  <x:si>
    <x:t xml:space="preserve">Operations &amp; Productivity</x:t>
  </x:si>
  <x:si>
    <x:t xml:space="preserve">E-Waste</x:t>
  </x:si>
  <x:si>
    <x:t xml:space="preserve">Sustainability &amp; Civic</x:t>
  </x:si>
  <x:si>
    <x:t xml:space="preserve">Edu-Fintech</x:t>
  </x:si>
  <x:si>
    <x:t xml:space="preserve">Finance &amp; Commerce</x:t>
  </x:si>
  <x:si>
    <x:t xml:space="preserve">Education &amp; Workforce</x:t>
  </x:si>
  <x:si>
    <x:t xml:space="preserve">Financial Legacy</x:t>
  </x:si>
  <x:si>
    <x:t xml:space="preserve">Fitness</x:t>
  </x:si>
  <x:si>
    <x:t xml:space="preserve">Health &amp; Wellbeing</x:t>
  </x:si>
  <x:si>
    <x:t xml:space="preserve">Food</x:t>
  </x:si>
  <x:si>
    <x:t xml:space="preserve">Platform or event context; reclassify if needed</x:t>
  </x:si>
  <x:si>
    <x:t xml:space="preserve">Health</x:t>
  </x:si>
  <x:si>
    <x:t xml:space="preserve">Logistics</x:t>
  </x:si>
  <x:si>
    <x:t xml:space="preserve">Personal Development</x:t>
  </x:si>
  <x:si>
    <x:t xml:space="preserve">Case-insensitive match also covers lower-case values</x:t>
  </x:si>
  <x:si>
    <x:t xml:space="preserve">Property Management</x:t>
  </x:si>
  <x:si>
    <x:t xml:space="preserve">Shariah Compliance</x:t>
  </x:si>
  <x:si>
    <x:t xml:space="preserve">Social Enterprise</x:t>
  </x:si>
  <x:si>
    <x:t xml:space="preserve">Various</x:t>
  </x:si>
  <x:si>
    <x:t xml:space="preserve">Mixed or unspecified</x:t>
  </x:si>
  <x:si>
    <x:t xml:space="preserve">Weather</x:t>
  </x:si>
  <x:si>
    <x:t xml:space="preserve">On-device and local model builds</x:t>
  </x:si>
  <x:si>
    <x:t xml:space="preserve">ChatGPT and Codex site builds</x:t>
  </x:si>
</x:sst>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"/>
    <x:numFmt numFmtId="202" formatCode="d mmm yyyy"/>
  </x:numFmts>
  <x:fonts count="33">
    <x:font>
      <x:sz val="12"/>
      <x:color theme="1"/>
      <x:name val="Calibri"/>
    </x:font>
    <x:font>
      <x:sz val="12"/>
      <x:color theme="10"/>
      <x:name val="Calibri"/>
    </x:font>
    <x:font>
      <x:b/>
      <x:sz val="22"/>
      <x:color rgb="FFFFFFFF"/>
      <x:name val="Calibri"/>
    </x:font>
    <x:font>
      <x:sz val="11"/>
      <x:color rgb="FF5A5143"/>
      <x:name val="Calibri"/>
    </x:font>
    <x:font>
      <x:b/>
      <x:sz val="11"/>
      <x:color rgb="FFFFFFFF"/>
      <x:name val="Calibri"/>
    </x:font>
    <x:font>
      <x:sz val="10"/>
      <x:color rgb="FF202020"/>
      <x:name val="Calibri"/>
    </x:font>
    <x:font>
      <x:b/>
      <x:sz val="10"/>
      <x:color rgb="FFF21D2F"/>
      <x:name val="Calibri"/>
    </x:font>
    <x:font>
      <x:sz val="10"/>
      <x:color rgb="FF0077B5"/>
      <x:name val="Calibri"/>
    </x:font>
    <x:font>
      <x:sz val="12"/>
      <x:color theme="1"/>
      <x:name val="Calibri"/>
    </x:font>
    <x:font>
      <x:b/>
      <x:sz val="14"/>
      <x:color rgb="FFFFFFFF"/>
      <x:name val="Calibri"/>
    </x:font>
    <x:font>
      <x:i/>
      <x:sz val="10"/>
      <x:color rgb="FF5F6368"/>
      <x:name val="Calibri"/>
    </x:font>
    <x:font>
      <x:b/>
      <x:sz val="12"/>
      <x:color rgb="FF111111"/>
      <x:name val="Calibri"/>
    </x:font>
    <x:font>
      <x:sz val="12"/>
      <x:color rgb="FF111111"/>
      <x:name val="Calibri"/>
    </x:font>
    <x:font>
      <x:i/>
      <x:sz val="12"/>
      <x:color rgb="FF5F6368"/>
      <x:name val="Calibri"/>
    </x:font>
    <x:font>
      <x:b/>
      <x:sz val="12"/>
      <x:color rgb="FFFFFFFF"/>
      <x:name val="Calibri"/>
    </x:font>
    <x:font>
      <x:b/>
      <x:sz val="20"/>
      <x:color rgb="FFFFFFFF"/>
      <x:name val="Calibri"/>
    </x:font>
    <x:font>
      <x:i/>
      <x:sz val="10"/>
      <x:color rgb="FF5B6573"/>
      <x:name val="Calibri"/>
    </x:font>
    <x:font>
      <x:b/>
      <x:sz val="11"/>
      <x:color rgb="FF17324D"/>
      <x:name val="Calibri"/>
    </x:font>
    <x:font>
      <x:sz val="10"/>
      <x:color rgb="FF5B6573"/>
      <x:name val="Calibri"/>
    </x:font>
    <x:font>
      <x:i/>
      <x:sz val="9"/>
      <x:color rgb="FF5B6573"/>
      <x:name val="Calibri"/>
    </x:font>
    <x:font>
      <x:b/>
      <x:sz val="14"/>
      <x:color rgb="FF17324D"/>
      <x:name val="Calibri"/>
    </x:font>
    <x:font>
      <x:b/>
      <x:sz val="12"/>
      <x:color rgb="FF17324D"/>
      <x:name val="Calibri"/>
    </x:font>
    <x:font>
      <x:b/>
      <x:sz val="18"/>
      <x:color rgb="FFFFFFFF"/>
      <x:name val="Calibri"/>
    </x:font>
    <x:font>
      <x:b/>
      <x:sz val="10"/>
      <x:color rgb="FFFFFFFF"/>
      <x:name val="Calibri"/>
    </x:font>
    <x:font>
      <x:b/>
      <x:sz val="18"/>
      <x:color rgb="FF17324D"/>
      <x:name val="Calibri"/>
    </x:font>
    <x:font>
      <x:sz val="12"/>
      <x:color rgb="FF17324D"/>
      <x:name val="Calibri"/>
    </x:font>
    <x:font>
      <x:sz val="10"/>
      <x:color rgb="FF17324D"/>
      <x:name val="Calibri"/>
    </x:font>
    <x:font>
      <x:i/>
      <x:sz val="10"/>
      <x:color rgb="FF5B677A"/>
      <x:name val="Calibri"/>
    </x:font>
    <x:font>
      <x:i/>
      <x:sz val="9"/>
      <x:color rgb="FF6B5D2A"/>
      <x:name val="Calibri"/>
    </x:font>
    <x:font>
      <x:sz val="12"/>
      <x:color rgb="FF233142"/>
      <x:name val="Calibri"/>
    </x:font>
    <x:font>
      <x:i/>
      <x:sz val="10"/>
      <x:color rgb="FF4B5563"/>
      <x:name val="Calibri"/>
    </x:font>
    <x:font>
      <x:sz val="9"/>
      <x:color rgb="FF4B5563"/>
      <x:name val="Calibri"/>
    </x:font>
    <x:font>
      <x:b/>
      <x:i/>
      <x:sz val="9"/>
      <x:color rgb="FF4B5563"/>
      <x:name val="Calibri"/>
    </x:font>
  </x:fonts>
  <x:fills count="123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0B0B0B"/>
      </x:patternFill>
    </x:fill>
    <x:fill>
      <x:patternFill patternType="solid">
        <x:fgColor rgb="FFE8E7E2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2F75B5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2F75B5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F2F4F7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F2F4F7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F2F4F7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F2F4F7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</x:fills>
  <x:borders count="5">
    <x:border/>
    <x:border>
      <x:left style="thin">
        <x:color rgb="FFD91A2A"/>
      </x:left>
      <x:right style="thin">
        <x:color rgb="FFD91A2A"/>
      </x:right>
      <x:top style="thin">
        <x:color rgb="FFD91A2A"/>
      </x:top>
      <x:bottom style="thin">
        <x:color rgb="FFD91A2A"/>
      </x:bottom>
    </x:border>
    <x:border>
      <x:left style="thin">
        <x:color rgb="FFE3E0D8"/>
      </x:left>
      <x:right style="thin">
        <x:color rgb="FFE3E0D8"/>
      </x:right>
      <x:top style="thin">
        <x:color rgb="FFE3E0D8"/>
      </x:top>
      <x:bottom style="thin">
        <x:color rgb="FFE3E0D8"/>
      </x:bottom>
    </x:border>
    <x:border>
      <x:left style="thin">
        <x:color rgb="FFCFCFC8"/>
      </x:left>
      <x:right style="thin">
        <x:color rgb="FFCFCFC8"/>
      </x:right>
      <x:top style="thin">
        <x:color rgb="FFCFCFC8"/>
      </x:top>
      <x:bottom style="thin">
        <x:color rgb="FFCFCFC8"/>
      </x:bottom>
    </x:border>
    <x:border>
      <x:left style="thin">
        <x:color rgb="FFE2E1DB"/>
      </x:left>
      <x:right style="thin">
        <x:color rgb="FFE2E1DB"/>
      </x:right>
      <x:top style="thin">
        <x:color rgb="FFE2E1DB"/>
      </x:top>
      <x:bottom style="thin">
        <x:color rgb="FFE2E1DB"/>
      </x:bottom>
    </x:border>
  </x:borders>
  <x:cellStyleXfs count="2">
    <x:xf numFmtId="0" fontId="0" fillId="0" borderId="0"/>
    <x:xf numFmtId="0" fontId="1" fillId="0" borderId="0" applyNumberFormat="0" applyFill="0" applyBorder="0" applyAlignment="0" applyProtection="0"/>
  </x:cellStyleXfs>
  <x:cellXfs count="527">
    <x:xf numFmtId="0" fontId="0" fillId="0" borderId="0" xfId="0"/>
    <x:xf numFmtId="0" fontId="1" fillId="0" borderId="0" xfId="1"/>
    <x:xf numFmtId="0" fontId="0" fillId="0" borderId="0" xfId="0" applyAlignment="1">
      <x:alignment horizontal="left"/>
    </x:xf>
    <x:xf numFmtId="17" fontId="0" fillId="0" borderId="0" xfId="0" applyNumberFormat="1" applyAlignment="1">
      <x:alignment horizontal="left"/>
    </x:xf>
    <x:xf numFmtId="15" fontId="0" fillId="0" borderId="0" xfId="0" applyNumberFormat="1" applyAlignment="1">
      <x:alignment horizontal="left"/>
    </x:xf>
    <x:xf numFmtId="14" fontId="0" fillId="0" borderId="0" xfId="0" applyNumberFormat="1" applyAlignment="1">
      <x:alignment horizontal="left"/>
    </x:xf>
    <x:xf numFmtId="0" fontId="0" fillId="0" borderId="0" xfId="0" applyAlignment="1">
      <x:alignment wrapText="1"/>
    </x:xf>
    <x:xf numFmtId="0" fontId="5" fillId="0" borderId="2" xfId="0" applyFont="1" applyBorder="1" applyAlignment="1">
      <x:alignment vertical="center" wrapText="1"/>
    </x:xf>
    <x:xf numFmtId="0" fontId="6" fillId="0" borderId="2" xfId="0" applyFont="1" applyBorder="1" applyAlignment="1">
      <x:alignment vertical="center" wrapText="1"/>
    </x:xf>
    <x:xf numFmtId="0" fontId="5" fillId="0" borderId="2" xfId="0" applyFont="1" applyBorder="1" applyAlignment="1">
      <x:alignment horizontal="center" vertical="center" wrapText="1"/>
    </x:xf>
    <x:xf numFmtId="0" fontId="7" fillId="0" borderId="2" xfId="0" applyFont="1" applyBorder="1" applyAlignment="1">
      <x:alignment vertical="center" wrapText="1"/>
    </x:xf>
    <x:xf numFmtId="0" fontId="4" fillId="4" borderId="1" xfId="0" applyFont="1" applyFill="1" applyBorder="1" applyAlignment="1">
      <x:alignment vertical="center" wrapText="1"/>
    </x:xf>
    <x:xf numFmtId="0" fontId="8" fillId="0" borderId="0" xfId="0" applyFont="1"/>
    <x:xf numFmtId="0" fontId="8" fillId="0" borderId="0" xfId="0" applyFont="1" applyAlignment="1">
      <x:alignment horizontal="left"/>
    </x:xf>
    <x:xf numFmtId="0" fontId="8" fillId="0" borderId="0" xfId="0" applyFont="1" applyAlignment="1">
      <x:alignment wrapText="1"/>
    </x:xf>
    <x:xf numFmtId="0" fontId="11" fillId="6" borderId="3" xfId="0" applyFont="1" applyFill="1" applyBorder="1" applyAlignment="1">
      <x:alignment horizontal="left" vertical="center"/>
    </x:xf>
    <x:xf numFmtId="0" fontId="12" fillId="0" borderId="4" xfId="0" applyFont="1" applyBorder="1" applyAlignment="1">
      <x:alignment vertical="top" wrapText="1"/>
    </x:xf>
    <x:xf numFmtId="0" fontId="13" fillId="0" borderId="4" xfId="0" applyFont="1" applyBorder="1" applyAlignment="1">
      <x:alignment vertical="top" wrapText="1"/>
    </x:xf>
    <x:xf numFmtId="0" fontId="2" fillId="2" borderId="0" xfId="0" applyFont="1" applyFill="1" applyAlignment="1">
      <x:alignment vertical="center"/>
    </x:xf>
    <x:xf numFmtId="0" fontId="3" fillId="3" borderId="0" xfId="0" applyFont="1" applyFill="1" applyAlignment="1">
      <x:alignment vertical="center" wrapText="1"/>
    </x:xf>
    <x:xf numFmtId="0" fontId="9" fillId="5" borderId="0" xfId="0" applyFont="1" applyFill="1" applyAlignment="1">
      <x:alignment horizontal="left" vertical="center"/>
    </x:xf>
    <x:xf numFmtId="0" fontId="10" fillId="0" borderId="0" xfId="0" applyFont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200" fontId="0" fillId="8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5" fillId="9" borderId="0" xfId="0" applyNumberFormat="1" applyFont="1" applyFill="1" applyBorder="1"/>
    <x:xf numFmtId="0" fontId="15" fillId="9" borderId="0" xfId="0" applyNumberFormat="1" applyFont="1" applyFill="1" applyBorder="1" applyAlignment="1">
      <x:alignment horizontal="left"/>
    </x:xf>
    <x:xf numFmtId="0" fontId="15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0" xfId="0" applyNumberFormat="1" applyFont="1" applyFill="1" applyBorder="1" applyAlignment="1">
      <x:alignment wrapText="1"/>
    </x:xf>
    <x:xf numFmtId="0" fontId="16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/>
    <x:xf numFmtId="0" fontId="0" fillId="12" borderId="0" xfId="0" applyNumberFormat="1" applyFont="1" applyFill="1" applyBorder="1"/>
    <x:xf numFmtId="0" fontId="17" fillId="12" borderId="0" xfId="0" applyNumberFormat="1" applyFont="1" applyFill="1" applyBorder="1"/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  <x:xf numFmtId="0" fontId="18" fillId="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0" fillId="14" borderId="0" xfId="0" applyNumberFormat="1" applyFont="1" applyFill="1" applyBorder="1"/>
    <x:xf numFmtId="0" fontId="19" fillId="14" borderId="0" xfId="0" applyNumberFormat="1" applyFont="1" applyFill="1" applyBorder="1"/>
    <x:xf numFmtId="0" fontId="19" fillId="14" borderId="0" xfId="0" applyNumberFormat="1" applyFont="1" applyFill="1" applyBorder="1" applyAlignment="1">
      <x:alignment wrapText="1"/>
    </x:xf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200" fontId="0" fillId="13" borderId="0" xfId="0" applyNumberFormat="1" applyFont="1" applyFill="1" applyBorder="1"/>
    <x:xf numFmtId="200" fontId="0" fillId="13" borderId="0" xfId="0" applyNumberFormat="1" applyFont="1" applyFill="1" applyBorder="1" applyAlignment="1">
      <x:alignment wrapText="1"/>
    </x:xf>
    <x:xf numFmtId="201" fontId="0" fillId="13" borderId="0" xfId="0" applyNumberFormat="1" applyFont="1" applyFill="1" applyBorder="1"/>
    <x:xf numFmtId="200" fontId="20" fillId="13" borderId="0" xfId="0" applyNumberFormat="1" applyFont="1" applyFill="1" applyBorder="1"/>
    <x:xf numFmtId="201" fontId="20" fillId="13" borderId="0" xfId="0" applyNumberFormat="1" applyFont="1" applyFill="1" applyBorder="1"/>
    <x:xf numFmtId="0" fontId="21" fillId="12" borderId="0" xfId="0" applyNumberFormat="1" applyFont="1" applyFill="1" applyBorder="1"/>
    <x:xf numFmtId="0" fontId="0" fillId="15" borderId="0" xfId="0" applyNumberFormat="1" applyFont="1" applyFill="1" applyBorder="1"/>
    <x:xf numFmtId="0" fontId="22" fillId="15" borderId="0" xfId="0" applyNumberFormat="1" applyFont="1" applyFill="1" applyBorder="1"/>
    <x:xf numFmtId="0" fontId="22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16" fillId="16" borderId="0" xfId="0" applyNumberFormat="1" applyFont="1" applyFill="1" applyBorder="1"/>
    <x:xf numFmtId="0" fontId="16" fillId="16" borderId="0" xfId="0" applyNumberFormat="1" applyFont="1" applyFill="1" applyBorder="1" applyAlignment="1">
      <x:alignment wrapText="1"/>
    </x:xf>
    <x:xf numFmtId="0" fontId="16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21" fillId="17" borderId="0" xfId="0" applyNumberFormat="1" applyFont="1" applyFill="1" applyBorder="1"/>
    <x:xf numFmtId="0" fontId="21" fillId="17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0" xfId="0" applyNumberFormat="1" applyFont="1" applyFill="1" applyBorder="1" applyAlignment="1">
      <x:alignment horizontal="center"/>
    </x:xf>
    <x:xf numFmtId="0" fontId="20" fillId="18" borderId="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23" fillId="19" borderId="0" xfId="0" applyNumberFormat="1" applyFont="1" applyFill="1" applyBorder="1"/>
    <x:xf numFmtId="0" fontId="23" fillId="19" borderId="0" xfId="0" applyNumberFormat="1" applyFont="1" applyFill="1" applyBorder="1" applyAlignment="1">
      <x:alignment wrapText="1"/>
    </x:xf>
    <x:xf numFmtId="0" fontId="23" fillId="19" borderId="0" xfId="0" applyNumberFormat="1" applyFont="1" applyFill="1" applyBorder="1" applyAlignment="1">
      <x:alignment horizontal="center" wrapText="1"/>
    </x:xf>
    <x:xf numFmtId="0" fontId="23" fillId="19" borderId="0" xfId="0" applyNumberFormat="1" applyFont="1" applyFill="1" applyBorder="1" applyAlignment="1">
      <x:alignment horizontal="center" vertical="center" wrapText="1"/>
    </x:xf>
    <x:xf numFmtId="200" fontId="0" fillId="20" borderId="0" xfId="0" applyNumberFormat="1" applyFont="1" applyFill="1" applyBorder="1"/>
    <x:xf numFmtId="0" fontId="0" fillId="20" borderId="0" xfId="0" applyNumberFormat="1" applyFont="1" applyFill="1" applyBorder="1"/>
    <x:xf numFmtId="201" fontId="0" fillId="20" borderId="0" xfId="0" applyNumberFormat="1" applyFont="1" applyFill="1" applyBorder="1"/>
    <x:xf numFmtId="200" fontId="0" fillId="20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 applyAlignment="1">
      <x:alignment vertical="center"/>
    </x:xf>
    <x:xf numFmtId="201" fontId="0" fillId="20" borderId="0" xfId="0" applyNumberFormat="1" applyFont="1" applyFill="1" applyBorder="1" applyAlignment="1">
      <x:alignment vertical="center"/>
    </x:xf>
    <x:xf numFmtId="200" fontId="0" fillId="20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201" fontId="0" fillId="20" borderId="0" xfId="0" applyNumberFormat="1" applyFont="1" applyFill="1" applyBorder="1" applyAlignment="1">
      <x:alignment vertical="center" wrapText="1"/>
    </x:xf>
    <x:xf numFmtId="0" fontId="22" fillId="21" borderId="0" xfId="0" applyNumberFormat="1" applyFont="1" applyFill="1" applyBorder="1" applyAlignment="1">
      <x:alignment vertical="center"/>
    </x:xf>
    <x:xf numFmtId="0" fontId="16" fillId="22" borderId="0" xfId="0" applyNumberFormat="1" applyFont="1" applyFill="1" applyBorder="1" applyAlignment="1">
      <x:alignment vertical="center" wrapText="1"/>
    </x:xf>
    <x:xf numFmtId="0" fontId="22" fillId="23" borderId="0" xfId="0" applyNumberFormat="1" applyFont="1" applyFill="1" applyBorder="1" applyAlignment="1">
      <x:alignment vertical="center"/>
    </x:xf>
    <x:xf numFmtId="0" fontId="16" fillId="24" borderId="0" xfId="0" applyNumberFormat="1" applyFont="1" applyFill="1" applyBorder="1" applyAlignment="1">
      <x:alignment vertical="center" wrapText="1"/>
    </x:xf>
    <x:xf numFmtId="0" fontId="22" fillId="25" borderId="0" xfId="0" applyNumberFormat="1" applyFont="1" applyFill="1" applyBorder="1" applyAlignment="1">
      <x:alignment vertical="center"/>
    </x:xf>
    <x:xf numFmtId="0" fontId="24" fillId="25" borderId="0" xfId="0" applyNumberFormat="1" applyFont="1" applyFill="1" applyBorder="1" applyAlignment="1">
      <x:alignment vertical="center"/>
    </x:xf>
    <x:xf numFmtId="0" fontId="1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21" fillId="27" borderId="0" xfId="0" applyNumberFormat="1" applyFont="1" applyFill="1" applyBorder="1"/>
    <x:xf numFmtId="0" fontId="21" fillId="27" borderId="0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20" fillId="28" borderId="0" xfId="0" applyNumberFormat="1" applyFont="1" applyFill="1" applyBorder="1"/>
    <x:xf numFmtId="200" fontId="20" fillId="28" borderId="0" xfId="0" applyNumberFormat="1" applyFont="1" applyFill="1" applyBorder="1"/>
    <x:xf numFmtId="200" fontId="20" fillId="28" borderId="0" xfId="0" applyNumberFormat="1" applyFont="1" applyFill="1" applyBorder="1" applyAlignment="1">
      <x:alignment horizontal="center"/>
    </x:xf>
    <x:xf numFmtId="200" fontId="20" fillId="28" borderId="0" xfId="0" applyNumberFormat="1" applyFont="1" applyFill="1" applyBorder="1" applyAlignment="1">
      <x:alignment horizontal="center" vertical="center"/>
    </x:xf>
    <x:xf numFmtId="0" fontId="0" fillId="29" borderId="0" xfId="0" applyNumberFormat="1" applyFont="1" applyFill="1" applyBorder="1"/>
    <x:xf numFmtId="200" fontId="0" fillId="29" borderId="0" xfId="0" applyNumberFormat="1" applyFont="1" applyFill="1" applyBorder="1"/>
    <x:xf numFmtId="200" fontId="0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4" fillId="30" borderId="0" xfId="0" applyNumberFormat="1" applyFont="1" applyFill="1" applyBorder="1"/>
    <x:xf numFmtId="0" fontId="4" fillId="30" borderId="0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/>
    <x:xf numFmtId="0" fontId="21" fillId="31" borderId="0" xfId="0" applyNumberFormat="1" applyFont="1" applyFill="1" applyBorder="1"/>
    <x:xf numFmtId="0" fontId="21" fillId="31" borderId="0" xfId="0" applyNumberFormat="1" applyFont="1" applyFill="1" applyBorder="1" applyAlignment="1">
      <x:alignment wrapText="1"/>
    </x:xf>
    <x:xf numFmtId="0" fontId="21" fillId="31" borderId="0" xfId="0" applyNumberFormat="1" applyFont="1" applyFill="1" applyBorder="1" applyAlignment="1">
      <x:alignment vertical="center" wrapText="1"/>
    </x:xf>
    <x:xf numFmtId="0" fontId="20" fillId="29" borderId="0" xfId="0" applyNumberFormat="1" applyFont="1" applyFill="1" applyBorder="1"/>
    <x:xf numFmtId="200" fontId="20" fillId="29" borderId="0" xfId="0" applyNumberFormat="1" applyFont="1" applyFill="1" applyBorder="1"/>
    <x:xf numFmtId="200" fontId="20" fillId="29" borderId="0" xfId="0" applyNumberFormat="1" applyFont="1" applyFill="1" applyBorder="1" applyAlignment="1">
      <x:alignment horizontal="center"/>
    </x:xf>
    <x:xf numFmtId="200" fontId="20" fillId="29" borderId="0" xfId="0" applyNumberFormat="1" applyFont="1" applyFill="1" applyBorder="1" applyAlignment="1">
      <x:alignment horizontal="center" vertical="center"/>
    </x:xf>
    <x:xf numFmtId="0" fontId="0" fillId="32" borderId="0" xfId="0" applyNumberFormat="1" applyFont="1" applyFill="1" applyBorder="1"/>
    <x:xf numFmtId="0" fontId="19" fillId="32" borderId="0" xfId="0" applyNumberFormat="1" applyFont="1" applyFill="1" applyBorder="1"/>
    <x:xf numFmtId="0" fontId="19" fillId="32" borderId="0" xfId="0" applyNumberFormat="1" applyFont="1" applyFill="1" applyBorder="1" applyAlignment="1">
      <x:alignment wrapText="1"/>
    </x:xf>
    <x:xf numFmtId="0" fontId="19" fillId="32" borderId="0" xfId="0" applyNumberFormat="1" applyFont="1" applyFill="1" applyBorder="1" applyAlignment="1">
      <x:alignment vertical="center" wrapText="1"/>
    </x:xf>
    <x:xf numFmtId="0" fontId="17" fillId="31" borderId="0" xfId="0" applyNumberFormat="1" applyFont="1" applyFill="1" applyBorder="1"/>
    <x:xf numFmtId="0" fontId="0" fillId="33" borderId="0" xfId="0" applyNumberFormat="1" applyFont="1" applyFill="1" applyBorder="1"/>
    <x:xf numFmtId="200" fontId="0" fillId="33" borderId="0" xfId="0" applyNumberFormat="1" applyFont="1" applyFill="1" applyBorder="1"/>
    <x:xf numFmtId="200" fontId="0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4" fillId="34" borderId="0" xfId="0" applyNumberFormat="1" applyFont="1" applyFill="1" applyBorder="1"/>
    <x:xf numFmtId="0" fontId="4" fillId="34" borderId="0" xfId="0" applyNumberFormat="1" applyFont="1" applyFill="1" applyBorder="1" applyAlignment="1">
      <x:alignment vertical="center"/>
    </x:xf>
    <x:xf numFmtId="0" fontId="0" fillId="35" borderId="0" xfId="0" applyNumberFormat="1" applyFont="1" applyFill="1" applyBorder="1"/>
    <x:xf numFmtId="0" fontId="21" fillId="35" borderId="0" xfId="0" applyNumberFormat="1" applyFont="1" applyFill="1" applyBorder="1"/>
    <x:xf numFmtId="0" fontId="21" fillId="35" borderId="0" xfId="0" applyNumberFormat="1" applyFont="1" applyFill="1" applyBorder="1" applyAlignment="1">
      <x:alignment wrapText="1"/>
    </x:xf>
    <x:xf numFmtId="0" fontId="21" fillId="35" borderId="0" xfId="0" applyNumberFormat="1" applyFont="1" applyFill="1" applyBorder="1" applyAlignment="1">
      <x:alignment vertical="center" wrapText="1"/>
    </x:xf>
    <x:xf numFmtId="0" fontId="20" fillId="33" borderId="0" xfId="0" applyNumberFormat="1" applyFont="1" applyFill="1" applyBorder="1"/>
    <x:xf numFmtId="200" fontId="20" fillId="33" borderId="0" xfId="0" applyNumberFormat="1" applyFont="1" applyFill="1" applyBorder="1"/>
    <x:xf numFmtId="200" fontId="20" fillId="33" borderId="0" xfId="0" applyNumberFormat="1" applyFont="1" applyFill="1" applyBorder="1" applyAlignment="1">
      <x:alignment horizontal="center"/>
    </x:xf>
    <x:xf numFmtId="200" fontId="20" fillId="33" borderId="0" xfId="0" applyNumberFormat="1" applyFont="1" applyFill="1" applyBorder="1" applyAlignment="1">
      <x:alignment horizontal="center" vertical="center"/>
    </x:xf>
    <x:xf numFmtId="0" fontId="0" fillId="36" borderId="0" xfId="0" applyNumberFormat="1" applyFont="1" applyFill="1" applyBorder="1"/>
    <x:xf numFmtId="0" fontId="19" fillId="36" borderId="0" xfId="0" applyNumberFormat="1" applyFont="1" applyFill="1" applyBorder="1"/>
    <x:xf numFmtId="0" fontId="19" fillId="36" borderId="0" xfId="0" applyNumberFormat="1" applyFont="1" applyFill="1" applyBorder="1" applyAlignment="1">
      <x:alignment wrapText="1"/>
    </x:xf>
    <x:xf numFmtId="0" fontId="19" fillId="36" borderId="0" xfId="0" applyNumberFormat="1" applyFont="1" applyFill="1" applyBorder="1" applyAlignment="1">
      <x:alignment vertical="center" wrapText="1"/>
    </x:xf>
    <x:xf numFmtId="0" fontId="17" fillId="35" borderId="0" xfId="0" applyNumberFormat="1" applyFont="1" applyFill="1" applyBorder="1"/>
    <x:xf numFmtId="0" fontId="0" fillId="37" borderId="0" xfId="0" applyNumberFormat="1" applyFont="1" applyFill="1" applyBorder="1"/>
    <x:xf numFmtId="200" fontId="0" fillId="37" borderId="0" xfId="0" applyNumberFormat="1" applyFont="1" applyFill="1" applyBorder="1"/>
    <x:xf numFmtId="200" fontId="0" fillId="37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/>
    <x:xf numFmtId="0" fontId="14" fillId="38" borderId="0" xfId="0" applyNumberFormat="1" applyFont="1" applyFill="1" applyBorder="1"/>
    <x:xf numFmtId="0" fontId="14" fillId="38" borderId="0" xfId="0" applyNumberFormat="1" applyFont="1" applyFill="1" applyBorder="1" applyAlignment="1">
      <x:alignment horizontal="center"/>
    </x:xf>
    <x:xf numFmtId="0" fontId="14" fillId="38" borderId="0" xfId="0" applyNumberFormat="1" applyFont="1" applyFill="1" applyBorder="1" applyAlignment="1">
      <x:alignment horizontal="center" vertical="center"/>
    </x:xf>
    <x:xf numFmtId="0" fontId="0" fillId="39" borderId="0" xfId="0" applyNumberFormat="1" applyFont="1" applyFill="1" applyBorder="1"/>
    <x:xf numFmtId="0" fontId="25" fillId="39" borderId="0" xfId="0" applyNumberFormat="1" applyFont="1" applyFill="1" applyBorder="1"/>
    <x:xf numFmtId="0" fontId="25" fillId="39" borderId="0" xfId="0" applyNumberFormat="1" applyFont="1" applyFill="1" applyBorder="1" applyAlignment="1">
      <x:alignment vertical="center"/>
    </x:xf>
    <x:xf numFmtId="0" fontId="25" fillId="37" borderId="0" xfId="0" applyNumberFormat="1" applyFont="1" applyFill="1" applyBorder="1" applyAlignment="1">
      <x:alignment vertical="center"/>
    </x:xf>
    <x:xf numFmtId="0" fontId="20" fillId="37" borderId="0" xfId="0" applyNumberFormat="1" applyFont="1" applyFill="1" applyBorder="1" applyAlignment="1">
      <x:alignment vertical="center"/>
    </x:xf>
    <x:xf numFmtId="200" fontId="20" fillId="37" borderId="0" xfId="0" applyNumberFormat="1" applyFont="1" applyFill="1" applyBorder="1" applyAlignment="1">
      <x:alignment vertical="center"/>
    </x:xf>
    <x:xf numFmtId="200" fontId="20" fillId="37" borderId="0" xfId="0" applyNumberFormat="1" applyFont="1" applyFill="1" applyBorder="1" applyAlignment="1">
      <x:alignment horizontal="right" vertical="center"/>
    </x:xf>
    <x:xf numFmtId="0" fontId="0" fillId="40" borderId="0" xfId="0" applyNumberFormat="1" applyFont="1" applyFill="1" applyBorder="1"/>
    <x:xf numFmtId="0" fontId="19" fillId="40" borderId="0" xfId="0" applyNumberFormat="1" applyFont="1" applyFill="1" applyBorder="1"/>
    <x:xf numFmtId="0" fontId="19" fillId="40" borderId="0" xfId="0" applyNumberFormat="1" applyFont="1" applyFill="1" applyBorder="1" applyAlignment="1">
      <x:alignment wrapText="1"/>
    </x:xf>
    <x:xf numFmtId="0" fontId="19" fillId="40" borderId="0" xfId="0" applyNumberFormat="1" applyFont="1" applyFill="1" applyBorder="1" applyAlignment="1">
      <x:alignment vertical="center" wrapText="1"/>
    </x:xf>
    <x:xf numFmtId="0" fontId="17" fillId="39" borderId="0" xfId="0" applyNumberFormat="1" applyFont="1" applyFill="1" applyBorder="1"/>
    <x:xf numFmtId="0" fontId="0" fillId="41" borderId="0" xfId="0" applyNumberFormat="1" applyFont="1" applyFill="1" applyBorder="1"/>
    <x:xf numFmtId="200" fontId="0" fillId="41" borderId="0" xfId="0" applyNumberFormat="1" applyFont="1" applyFill="1" applyBorder="1"/>
    <x:xf numFmtId="200" fontId="0" fillId="41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/>
    <x:xf numFmtId="0" fontId="14" fillId="42" borderId="0" xfId="0" applyNumberFormat="1" applyFont="1" applyFill="1" applyBorder="1"/>
    <x:xf numFmtId="0" fontId="14" fillId="42" borderId="0" xfId="0" applyNumberFormat="1" applyFont="1" applyFill="1" applyBorder="1" applyAlignment="1">
      <x:alignment horizontal="center"/>
    </x:xf>
    <x:xf numFmtId="0" fontId="14" fillId="42" borderId="0" xfId="0" applyNumberFormat="1" applyFont="1" applyFill="1" applyBorder="1" applyAlignment="1">
      <x:alignment horizontal="center" vertical="center"/>
    </x:xf>
    <x:xf numFmtId="0" fontId="0" fillId="43" borderId="0" xfId="0" applyNumberFormat="1" applyFont="1" applyFill="1" applyBorder="1"/>
    <x:xf numFmtId="0" fontId="25" fillId="43" borderId="0" xfId="0" applyNumberFormat="1" applyFont="1" applyFill="1" applyBorder="1"/>
    <x:xf numFmtId="0" fontId="25" fillId="43" borderId="0" xfId="0" applyNumberFormat="1" applyFont="1" applyFill="1" applyBorder="1" applyAlignment="1">
      <x:alignment vertical="center"/>
    </x:xf>
    <x:xf numFmtId="0" fontId="25" fillId="41" borderId="0" xfId="0" applyNumberFormat="1" applyFont="1" applyFill="1" applyBorder="1" applyAlignment="1">
      <x:alignment vertical="center"/>
    </x:xf>
    <x:xf numFmtId="0" fontId="20" fillId="41" borderId="0" xfId="0" applyNumberFormat="1" applyFont="1" applyFill="1" applyBorder="1" applyAlignment="1">
      <x:alignment vertical="center"/>
    </x:xf>
    <x:xf numFmtId="200" fontId="20" fillId="41" borderId="0" xfId="0" applyNumberFormat="1" applyFont="1" applyFill="1" applyBorder="1" applyAlignment="1">
      <x:alignment vertical="center"/>
    </x:xf>
    <x:xf numFmtId="200" fontId="20" fillId="41" borderId="0" xfId="0" applyNumberFormat="1" applyFont="1" applyFill="1" applyBorder="1" applyAlignment="1">
      <x:alignment horizontal="right" vertical="center"/>
    </x:xf>
    <x:xf numFmtId="0" fontId="0" fillId="44" borderId="0" xfId="0" applyNumberFormat="1" applyFont="1" applyFill="1" applyBorder="1"/>
    <x:xf numFmtId="0" fontId="19" fillId="44" borderId="0" xfId="0" applyNumberFormat="1" applyFont="1" applyFill="1" applyBorder="1"/>
    <x:xf numFmtId="0" fontId="19" fillId="44" borderId="0" xfId="0" applyNumberFormat="1" applyFont="1" applyFill="1" applyBorder="1" applyAlignment="1">
      <x:alignment wrapText="1"/>
    </x:xf>
    <x:xf numFmtId="0" fontId="19" fillId="44" borderId="0" xfId="0" applyNumberFormat="1" applyFont="1" applyFill="1" applyBorder="1" applyAlignment="1">
      <x:alignment vertical="center" wrapText="1"/>
    </x:xf>
    <x:xf numFmtId="0" fontId="17" fillId="43" borderId="0" xfId="0" applyNumberFormat="1" applyFont="1" applyFill="1" applyBorder="1"/>
    <x:xf numFmtId="0" fontId="0" fillId="45" borderId="0" xfId="0" applyNumberFormat="1" applyFont="1" applyFill="1" applyBorder="1"/>
    <x:xf numFmtId="0" fontId="14" fillId="45" borderId="0" xfId="0" applyNumberFormat="1" applyFont="1" applyFill="1" applyBorder="1"/>
    <x:xf numFmtId="0" fontId="14" fillId="45" borderId="0" xfId="0" applyNumberFormat="1" applyFont="1" applyFill="1" applyBorder="1" applyAlignment="1">
      <x:alignment wrapText="1"/>
    </x:xf>
    <x:xf numFmtId="0" fontId="14" fillId="45" borderId="0" xfId="0" applyNumberFormat="1" applyFont="1" applyFill="1" applyBorder="1" applyAlignment="1">
      <x:alignment horizontal="center" wrapText="1"/>
    </x:xf>
    <x:xf numFmtId="0" fontId="14" fillId="45" borderId="0" xfId="0" applyNumberFormat="1" applyFont="1" applyFill="1" applyBorder="1" applyAlignment="1">
      <x:alignment horizontal="center" vertical="center" wrapText="1"/>
    </x:xf>
    <x:xf numFmtId="0" fontId="0" fillId="46" borderId="0" xfId="0" applyNumberFormat="1" applyFont="1" applyFill="1" applyBorder="1"/>
    <x:xf numFmtId="0" fontId="0" fillId="46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/>
    <x:xf numFmtId="0" fontId="14" fillId="47" borderId="0" xfId="0" applyNumberFormat="1" applyFont="1" applyFill="1" applyBorder="1"/>
    <x:xf numFmtId="0" fontId="14" fillId="47" borderId="0" xfId="0" applyNumberFormat="1" applyFont="1" applyFill="1" applyBorder="1" applyAlignment="1">
      <x:alignment wrapText="1"/>
    </x:xf>
    <x:xf numFmtId="0" fontId="14" fillId="47" borderId="0" xfId="0" applyNumberFormat="1" applyFont="1" applyFill="1" applyBorder="1" applyAlignment="1">
      <x:alignment horizontal="center" wrapText="1"/>
    </x:xf>
    <x:xf numFmtId="0" fontId="14" fillId="47" borderId="0" xfId="0" applyNumberFormat="1" applyFont="1" applyFill="1" applyBorder="1" applyAlignment="1">
      <x:alignment horizontal="center" vertical="center" wrapText="1"/>
    </x:xf>
    <x:xf numFmtId="0" fontId="0" fillId="48" borderId="0" xfId="0" applyNumberFormat="1" applyFont="1" applyFill="1" applyBorder="1"/>
    <x:xf numFmtId="201" fontId="0" fillId="48" borderId="0" xfId="0" applyNumberFormat="1" applyFont="1" applyFill="1" applyBorder="1"/>
    <x:xf numFmtId="201" fontId="0" fillId="48" borderId="0" xfId="0" applyNumberFormat="1" applyFont="1" applyFill="1" applyBorder="1" applyAlignment="1">
      <x:alignment horizontal="center"/>
    </x:xf>
    <x:xf numFmtId="0" fontId="24" fillId="49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23" fillId="50" borderId="0" xfId="0" applyNumberFormat="1" applyFont="1" applyFill="1" applyBorder="1"/>
    <x:xf numFmtId="0" fontId="23" fillId="50" borderId="0" xfId="0" applyNumberFormat="1" applyFont="1" applyFill="1" applyBorder="1" applyAlignment="1">
      <x:alignment wrapText="1"/>
    </x:xf>
    <x:xf numFmtId="0" fontId="23" fillId="50" borderId="0" xfId="0" applyNumberFormat="1" applyFont="1" applyFill="1" applyBorder="1" applyAlignment="1">
      <x:alignment horizontal="center" wrapText="1"/>
    </x:xf>
    <x:xf numFmtId="0" fontId="23" fillId="50" borderId="0" xfId="0" applyNumberFormat="1" applyFont="1" applyFill="1" applyBorder="1" applyAlignment="1">
      <x:alignment horizontal="center" vertical="center" wrapText="1"/>
    </x:xf>
    <x:xf numFmtId="201" fontId="0" fillId="48" borderId="0" xfId="0" applyNumberFormat="1" applyFont="1" applyFill="1" applyBorder="1" applyAlignment="1">
      <x:alignment horizontal="center" vertical="center"/>
    </x:xf>
    <x:xf numFmtId="201" fontId="0" fillId="8" borderId="0" xfId="0" applyNumberFormat="1" applyFont="1" applyFill="1" applyBorder="1" applyAlignment="1">
      <x:alignment horizontal="center"/>
    </x:xf>
    <x:xf numFmtId="0" fontId="0" fillId="51" borderId="0" xfId="0" applyNumberFormat="1" applyFont="1" applyFill="1" applyBorder="1"/>
    <x:xf numFmtId="0" fontId="4" fillId="51" borderId="0" xfId="0" applyNumberFormat="1" applyFont="1" applyFill="1" applyBorder="1"/>
    <x:xf numFmtId="0" fontId="4" fillId="51" borderId="0" xfId="0" applyNumberFormat="1" applyFont="1" applyFill="1" applyBorder="1" applyAlignment="1">
      <x:alignment vertical="center"/>
    </x:xf>
    <x:xf numFmtId="0" fontId="0" fillId="52" borderId="0" xfId="0" applyNumberFormat="1" applyFont="1" applyFill="1" applyBorder="1"/>
    <x:xf numFmtId="0" fontId="21" fillId="52" borderId="0" xfId="0" applyNumberFormat="1" applyFont="1" applyFill="1" applyBorder="1"/>
    <x:xf numFmtId="0" fontId="21" fillId="52" borderId="0" xfId="0" applyNumberFormat="1" applyFont="1" applyFill="1" applyBorder="1" applyAlignment="1">
      <x:alignment vertical="center"/>
    </x:xf>
    <x:xf numFmtId="0" fontId="0" fillId="53" borderId="0" xfId="0" applyNumberFormat="1" applyFont="1" applyFill="1" applyBorder="1"/>
    <x:xf numFmtId="0" fontId="20" fillId="53" borderId="0" xfId="0" applyNumberFormat="1" applyFont="1" applyFill="1" applyBorder="1"/>
    <x:xf numFmtId="201" fontId="20" fillId="53" borderId="0" xfId="0" applyNumberFormat="1" applyFont="1" applyFill="1" applyBorder="1"/>
    <x:xf numFmtId="201" fontId="20" fillId="53" borderId="0" xfId="0" applyNumberFormat="1" applyFont="1" applyFill="1" applyBorder="1" applyAlignment="1">
      <x:alignment horizontal="center"/>
    </x:xf>
    <x:xf numFmtId="201" fontId="20" fillId="53" borderId="0" xfId="0" applyNumberFormat="1" applyFont="1" applyFill="1" applyBorder="1" applyAlignment="1">
      <x:alignment horizontal="center" vertical="center"/>
    </x:xf>
    <x:xf numFmtId="0" fontId="0" fillId="54" borderId="0" xfId="0" applyNumberFormat="1" applyFont="1" applyFill="1" applyBorder="1"/>
    <x:xf numFmtId="0" fontId="14" fillId="54" borderId="0" xfId="0" applyNumberFormat="1" applyFont="1" applyFill="1" applyBorder="1"/>
    <x:xf numFmtId="0" fontId="14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26" fillId="55" borderId="0" xfId="0" applyNumberFormat="1" applyFont="1" applyFill="1" applyBorder="1"/>
    <x:xf numFmtId="0" fontId="26" fillId="55" borderId="0" xfId="0" applyNumberFormat="1" applyFont="1" applyFill="1" applyBorder="1" applyAlignment="1">
      <x:alignment wrapText="1"/>
    </x:xf>
    <x:xf numFmtId="0" fontId="26" fillId="55" borderId="0" xfId="0" applyNumberFormat="1" applyFont="1" applyFill="1" applyBorder="1" applyAlignment="1">
      <x:alignment vertical="top" wrapText="1"/>
    </x:xf>
    <x:xf numFmtId="0" fontId="0" fillId="56" borderId="0" xfId="0" applyNumberFormat="1" applyFont="1" applyFill="1" applyBorder="1"/>
    <x:xf numFmtId="0" fontId="19" fillId="56" borderId="0" xfId="0" applyNumberFormat="1" applyFont="1" applyFill="1" applyBorder="1"/>
    <x:xf numFmtId="0" fontId="19" fillId="56" borderId="0" xfId="0" applyNumberFormat="1" applyFont="1" applyFill="1" applyBorder="1" applyAlignment="1">
      <x:alignment wrapText="1"/>
    </x:xf>
    <x:xf numFmtId="0" fontId="19" fillId="56" borderId="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4" fillId="57" borderId="0" xfId="0" applyNumberFormat="1" applyFont="1" applyFill="1" applyBorder="1"/>
    <x:xf numFmtId="0" fontId="4" fillId="57" borderId="0" xfId="0" applyNumberFormat="1" applyFont="1" applyFill="1" applyBorder="1" applyAlignment="1">
      <x:alignment vertical="center"/>
    </x:xf>
    <x:xf numFmtId="0" fontId="0" fillId="58" borderId="0" xfId="0" applyNumberFormat="1" applyFont="1" applyFill="1" applyBorder="1"/>
    <x:xf numFmtId="0" fontId="21" fillId="58" borderId="0" xfId="0" applyNumberFormat="1" applyFont="1" applyFill="1" applyBorder="1"/>
    <x:xf numFmtId="0" fontId="21" fillId="58" borderId="0" xfId="0" applyNumberFormat="1" applyFont="1" applyFill="1" applyBorder="1" applyAlignment="1">
      <x:alignment vertical="center"/>
    </x:xf>
    <x:xf numFmtId="0" fontId="0" fillId="59" borderId="0" xfId="0" applyNumberFormat="1" applyFont="1" applyFill="1" applyBorder="1"/>
    <x:xf numFmtId="0" fontId="20" fillId="59" borderId="0" xfId="0" applyNumberFormat="1" applyFont="1" applyFill="1" applyBorder="1"/>
    <x:xf numFmtId="201" fontId="20" fillId="59" borderId="0" xfId="0" applyNumberFormat="1" applyFont="1" applyFill="1" applyBorder="1"/>
    <x:xf numFmtId="201" fontId="20" fillId="59" borderId="0" xfId="0" applyNumberFormat="1" applyFont="1" applyFill="1" applyBorder="1" applyAlignment="1">
      <x:alignment horizontal="center"/>
    </x:xf>
    <x:xf numFmtId="201" fontId="20" fillId="59" borderId="0" xfId="0" applyNumberFormat="1" applyFont="1" applyFill="1" applyBorder="1" applyAlignment="1">
      <x:alignment horizontal="center" vertical="center"/>
    </x:xf>
    <x:xf numFmtId="0" fontId="0" fillId="60" borderId="0" xfId="0" applyNumberFormat="1" applyFont="1" applyFill="1" applyBorder="1"/>
    <x:xf numFmtId="0" fontId="14" fillId="60" borderId="0" xfId="0" applyNumberFormat="1" applyFont="1" applyFill="1" applyBorder="1"/>
    <x:xf numFmtId="0" fontId="14" fillId="60" borderId="0" xfId="0" applyNumberFormat="1" applyFont="1" applyFill="1" applyBorder="1" applyAlignment="1">
      <x:alignment horizontal="center"/>
    </x:xf>
    <x:xf numFmtId="0" fontId="14" fillId="60" borderId="0" xfId="0" applyNumberFormat="1" applyFont="1" applyFill="1" applyBorder="1" applyAlignment="1">
      <x:alignment horizontal="center" vertical="center"/>
    </x:xf>
    <x:xf numFmtId="0" fontId="0" fillId="61" borderId="0" xfId="0" applyNumberFormat="1" applyFont="1" applyFill="1" applyBorder="1"/>
    <x:xf numFmtId="0" fontId="26" fillId="61" borderId="0" xfId="0" applyNumberFormat="1" applyFont="1" applyFill="1" applyBorder="1"/>
    <x:xf numFmtId="0" fontId="26" fillId="61" borderId="0" xfId="0" applyNumberFormat="1" applyFont="1" applyFill="1" applyBorder="1" applyAlignment="1">
      <x:alignment wrapText="1"/>
    </x:xf>
    <x:xf numFmtId="0" fontId="26" fillId="61" borderId="0" xfId="0" applyNumberFormat="1" applyFont="1" applyFill="1" applyBorder="1" applyAlignment="1">
      <x:alignment vertical="center" wrapText="1"/>
    </x:xf>
    <x:xf numFmtId="201" fontId="26" fillId="61" borderId="0" xfId="0" applyNumberFormat="1" applyFont="1" applyFill="1" applyBorder="1" applyAlignment="1">
      <x:alignment vertical="center" wrapText="1"/>
    </x:xf>
    <x:xf numFmtId="0" fontId="0" fillId="62" borderId="0" xfId="0" applyNumberFormat="1" applyFont="1" applyFill="1" applyBorder="1"/>
    <x:xf numFmtId="0" fontId="19" fillId="62" borderId="0" xfId="0" applyNumberFormat="1" applyFont="1" applyFill="1" applyBorder="1"/>
    <x:xf numFmtId="0" fontId="19" fillId="62" borderId="0" xfId="0" applyNumberFormat="1" applyFont="1" applyFill="1" applyBorder="1" applyAlignment="1">
      <x:alignment wrapText="1"/>
    </x:xf>
    <x:xf numFmtId="0" fontId="19" fillId="62" borderId="0" xfId="0" applyNumberFormat="1" applyFont="1" applyFill="1" applyBorder="1" applyAlignment="1">
      <x:alignment vertical="center" wrapText="1"/>
    </x:xf>
    <x:xf numFmtId="0" fontId="0" fillId="63" borderId="0" xfId="0" applyNumberFormat="1" applyFont="1" applyFill="1" applyBorder="1"/>
    <x:xf numFmtId="0" fontId="4" fillId="63" borderId="0" xfId="0" applyNumberFormat="1" applyFont="1" applyFill="1" applyBorder="1"/>
    <x:xf numFmtId="0" fontId="4" fillId="63" borderId="0" xfId="0" applyNumberFormat="1" applyFont="1" applyFill="1" applyBorder="1" applyAlignment="1">
      <x:alignment vertical="center"/>
    </x:xf>
    <x:xf numFmtId="0" fontId="0" fillId="64" borderId="0" xfId="0" applyNumberFormat="1" applyFont="1" applyFill="1" applyBorder="1"/>
    <x:xf numFmtId="0" fontId="21" fillId="64" borderId="0" xfId="0" applyNumberFormat="1" applyFont="1" applyFill="1" applyBorder="1"/>
    <x:xf numFmtId="0" fontId="21" fillId="64" borderId="0" xfId="0" applyNumberFormat="1" applyFont="1" applyFill="1" applyBorder="1" applyAlignment="1">
      <x:alignment vertical="center"/>
    </x:xf>
    <x:xf numFmtId="0" fontId="0" fillId="65" borderId="0" xfId="0" applyNumberFormat="1" applyFont="1" applyFill="1" applyBorder="1"/>
    <x:xf numFmtId="0" fontId="20" fillId="65" borderId="0" xfId="0" applyNumberFormat="1" applyFont="1" applyFill="1" applyBorder="1"/>
    <x:xf numFmtId="201" fontId="20" fillId="65" borderId="0" xfId="0" applyNumberFormat="1" applyFont="1" applyFill="1" applyBorder="1"/>
    <x:xf numFmtId="201" fontId="20" fillId="65" borderId="0" xfId="0" applyNumberFormat="1" applyFont="1" applyFill="1" applyBorder="1" applyAlignment="1">
      <x:alignment horizontal="center"/>
    </x:xf>
    <x:xf numFmtId="201" fontId="20" fillId="65" borderId="0" xfId="0" applyNumberFormat="1" applyFont="1" applyFill="1" applyBorder="1" applyAlignment="1">
      <x:alignment horizontal="center" vertical="center"/>
    </x:xf>
    <x:xf numFmtId="0" fontId="0" fillId="66" borderId="0" xfId="0" applyNumberFormat="1" applyFont="1" applyFill="1" applyBorder="1"/>
    <x:xf numFmtId="0" fontId="14" fillId="66" borderId="0" xfId="0" applyNumberFormat="1" applyFont="1" applyFill="1" applyBorder="1"/>
    <x:xf numFmtId="0" fontId="14" fillId="66" borderId="0" xfId="0" applyNumberFormat="1" applyFont="1" applyFill="1" applyBorder="1" applyAlignment="1">
      <x:alignment horizontal="center"/>
    </x:xf>
    <x:xf numFmtId="0" fontId="14" fillId="66" borderId="0" xfId="0" applyNumberFormat="1" applyFont="1" applyFill="1" applyBorder="1" applyAlignment="1">
      <x:alignment horizontal="center" vertical="center"/>
    </x:xf>
    <x:xf numFmtId="0" fontId="0" fillId="67" borderId="0" xfId="0" applyNumberFormat="1" applyFont="1" applyFill="1" applyBorder="1"/>
    <x:xf numFmtId="0" fontId="26" fillId="67" borderId="0" xfId="0" applyNumberFormat="1" applyFont="1" applyFill="1" applyBorder="1"/>
    <x:xf numFmtId="0" fontId="26" fillId="67" borderId="0" xfId="0" applyNumberFormat="1" applyFont="1" applyFill="1" applyBorder="1" applyAlignment="1">
      <x:alignment wrapText="1"/>
    </x:xf>
    <x:xf numFmtId="0" fontId="26" fillId="67" borderId="0" xfId="0" applyNumberFormat="1" applyFont="1" applyFill="1" applyBorder="1" applyAlignment="1">
      <x:alignment vertical="center" wrapText="1"/>
    </x:xf>
    <x:xf numFmtId="201" fontId="26" fillId="67" borderId="0" xfId="0" applyNumberFormat="1" applyFont="1" applyFill="1" applyBorder="1" applyAlignment="1">
      <x:alignment vertical="center" wrapText="1"/>
    </x:xf>
    <x:xf numFmtId="0" fontId="0" fillId="68" borderId="0" xfId="0" applyNumberFormat="1" applyFont="1" applyFill="1" applyBorder="1"/>
    <x:xf numFmtId="0" fontId="19" fillId="68" borderId="0" xfId="0" applyNumberFormat="1" applyFont="1" applyFill="1" applyBorder="1"/>
    <x:xf numFmtId="0" fontId="19" fillId="68" borderId="0" xfId="0" applyNumberFormat="1" applyFont="1" applyFill="1" applyBorder="1" applyAlignment="1">
      <x:alignment wrapText="1"/>
    </x:xf>
    <x:xf numFmtId="0" fontId="19" fillId="68" borderId="0" xfId="0" applyNumberFormat="1" applyFont="1" applyFill="1" applyBorder="1" applyAlignment="1">
      <x:alignment vertical="center" wrapText="1"/>
    </x:xf>
    <x:xf numFmtId="0" fontId="24" fillId="69" borderId="0" xfId="0" applyNumberFormat="1" applyFont="1" applyFill="1" applyBorder="1" applyAlignment="1">
      <x:alignment vertical="center"/>
    </x:xf>
    <x:xf numFmtId="0" fontId="0" fillId="70" borderId="0" xfId="0" applyNumberFormat="1" applyFont="1" applyFill="1" applyBorder="1"/>
    <x:xf numFmtId="200" fontId="0" fillId="70" borderId="0" xfId="0" applyNumberFormat="1" applyFont="1" applyFill="1" applyBorder="1"/>
    <x:xf numFmtId="200" fontId="0" fillId="7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70" borderId="0" xfId="0" applyNumberFormat="1" applyFont="1" applyFill="1" applyBorder="1" applyAlignment="1">
      <x:alignment vertical="center" wrapText="1"/>
    </x:xf>
    <x:xf numFmtId="0" fontId="0" fillId="71" borderId="0" xfId="0" applyNumberFormat="1" applyFont="1" applyFill="1" applyBorder="1"/>
    <x:xf numFmtId="0" fontId="4" fillId="71" borderId="0" xfId="0" applyNumberFormat="1" applyFont="1" applyFill="1" applyBorder="1"/>
    <x:xf numFmtId="0" fontId="4" fillId="71" borderId="0" xfId="0" applyNumberFormat="1" applyFont="1" applyFill="1" applyBorder="1" applyAlignment="1">
      <x:alignment vertical="center"/>
    </x:xf>
    <x:xf numFmtId="0" fontId="0" fillId="72" borderId="0" xfId="0" applyNumberFormat="1" applyFont="1" applyFill="1" applyBorder="1"/>
    <x:xf numFmtId="0" fontId="14" fillId="72" borderId="0" xfId="0" applyNumberFormat="1" applyFont="1" applyFill="1" applyBorder="1"/>
    <x:xf numFmtId="0" fontId="14" fillId="72" borderId="0" xfId="0" applyNumberFormat="1" applyFont="1" applyFill="1" applyBorder="1" applyAlignment="1">
      <x:alignment horizontal="center"/>
    </x:xf>
    <x:xf numFmtId="0" fontId="14" fillId="72" borderId="0" xfId="0" applyNumberFormat="1" applyFont="1" applyFill="1" applyBorder="1" applyAlignment="1">
      <x:alignment horizontal="center" vertical="center"/>
    </x:xf>
    <x:xf numFmtId="0" fontId="0" fillId="73" borderId="0" xfId="0" applyNumberFormat="1" applyFont="1" applyFill="1" applyBorder="1"/>
    <x:xf numFmtId="0" fontId="0" fillId="73" borderId="0" xfId="0" applyNumberFormat="1" applyFont="1" applyFill="1" applyBorder="1" applyAlignment="1">
      <x:alignment vertical="center"/>
    </x:xf>
    <x:xf numFmtId="0" fontId="0" fillId="70" borderId="0" xfId="0" applyNumberFormat="1" applyFont="1" applyFill="1" applyBorder="1" applyAlignment="1">
      <x:alignment vertical="center"/>
    </x:xf>
    <x:xf numFmtId="0" fontId="21" fillId="70" borderId="0" xfId="0" applyNumberFormat="1" applyFont="1" applyFill="1" applyBorder="1" applyAlignment="1">
      <x:alignment vertical="center"/>
    </x:xf>
    <x:xf numFmtId="200" fontId="21" fillId="70" borderId="0" xfId="0" applyNumberFormat="1" applyFont="1" applyFill="1" applyBorder="1" applyAlignment="1">
      <x:alignment vertical="center"/>
    </x:xf>
    <x:xf numFmtId="0" fontId="20" fillId="70" borderId="0" xfId="0" applyNumberFormat="1" applyFont="1" applyFill="1" applyBorder="1" applyAlignment="1">
      <x:alignment vertical="center"/>
    </x:xf>
    <x:xf numFmtId="200" fontId="20" fillId="70" borderId="0" xfId="0" applyNumberFormat="1" applyFont="1" applyFill="1" applyBorder="1" applyAlignment="1">
      <x:alignment vertical="center"/>
    </x:xf>
    <x:xf numFmtId="0" fontId="0" fillId="74" borderId="0" xfId="0" applyNumberFormat="1" applyFont="1" applyFill="1" applyBorder="1"/>
    <x:xf numFmtId="0" fontId="19" fillId="74" borderId="0" xfId="0" applyNumberFormat="1" applyFont="1" applyFill="1" applyBorder="1"/>
    <x:xf numFmtId="0" fontId="19" fillId="74" borderId="0" xfId="0" applyNumberFormat="1" applyFont="1" applyFill="1" applyBorder="1" applyAlignment="1">
      <x:alignment wrapText="1"/>
    </x:xf>
    <x:xf numFmtId="0" fontId="19" fillId="74" borderId="0" xfId="0" applyNumberFormat="1" applyFont="1" applyFill="1" applyBorder="1" applyAlignment="1">
      <x:alignment vertical="center" wrapText="1"/>
    </x:xf>
    <x:xf numFmtId="0" fontId="24" fillId="75" borderId="0" xfId="0" applyNumberFormat="1" applyFont="1" applyFill="1" applyBorder="1" applyAlignment="1">
      <x:alignment vertical="center"/>
    </x:xf>
    <x:xf numFmtId="0" fontId="0" fillId="76" borderId="0" xfId="0" applyNumberFormat="1" applyFont="1" applyFill="1" applyBorder="1"/>
    <x:xf numFmtId="200" fontId="0" fillId="76" borderId="0" xfId="0" applyNumberFormat="1" applyFont="1" applyFill="1" applyBorder="1"/>
    <x:xf numFmtId="200" fontId="0" fillId="76" borderId="0" xfId="0" applyNumberFormat="1" applyFont="1" applyFill="1" applyBorder="1" applyAlignment="1">
      <x:alignment wrapText="1"/>
    </x:xf>
    <x:xf numFmtId="200" fontId="0" fillId="76" borderId="0" xfId="0" applyNumberFormat="1" applyFont="1" applyFill="1" applyBorder="1" applyAlignment="1">
      <x:alignment vertical="center" wrapText="1"/>
    </x:xf>
    <x:xf numFmtId="0" fontId="0" fillId="77" borderId="0" xfId="0" applyNumberFormat="1" applyFont="1" applyFill="1" applyBorder="1"/>
    <x:xf numFmtId="0" fontId="4" fillId="77" borderId="0" xfId="0" applyNumberFormat="1" applyFont="1" applyFill="1" applyBorder="1"/>
    <x:xf numFmtId="0" fontId="4" fillId="77" borderId="0" xfId="0" applyNumberFormat="1" applyFont="1" applyFill="1" applyBorder="1" applyAlignment="1">
      <x:alignment vertical="center"/>
    </x:xf>
    <x:xf numFmtId="0" fontId="0" fillId="78" borderId="0" xfId="0" applyNumberFormat="1" applyFont="1" applyFill="1" applyBorder="1"/>
    <x:xf numFmtId="0" fontId="21" fillId="78" borderId="0" xfId="0" applyNumberFormat="1" applyFont="1" applyFill="1" applyBorder="1"/>
    <x:xf numFmtId="0" fontId="21" fillId="78" borderId="0" xfId="0" applyNumberFormat="1" applyFont="1" applyFill="1" applyBorder="1" applyAlignment="1">
      <x:alignment vertical="center"/>
    </x:xf>
    <x:xf numFmtId="0" fontId="20" fillId="76" borderId="0" xfId="0" applyNumberFormat="1" applyFont="1" applyFill="1" applyBorder="1"/>
    <x:xf numFmtId="200" fontId="20" fillId="76" borderId="0" xfId="0" applyNumberFormat="1" applyFont="1" applyFill="1" applyBorder="1"/>
    <x:xf numFmtId="200" fontId="20" fillId="76" borderId="0" xfId="0" applyNumberFormat="1" applyFont="1" applyFill="1" applyBorder="1" applyAlignment="1">
      <x:alignment horizontal="right"/>
    </x:xf>
    <x:xf numFmtId="200" fontId="20" fillId="76" borderId="0" xfId="0" applyNumberFormat="1" applyFont="1" applyFill="1" applyBorder="1" applyAlignment="1">
      <x:alignment horizontal="right" vertical="center"/>
    </x:xf>
    <x:xf numFmtId="0" fontId="24" fillId="79" borderId="0" xfId="0" applyNumberFormat="1" applyFont="1" applyFill="1" applyBorder="1" applyAlignment="1">
      <x:alignment vertical="center"/>
    </x:xf>
    <x:xf numFmtId="0" fontId="0" fillId="80" borderId="0" xfId="0" applyNumberFormat="1" applyFont="1" applyFill="1" applyBorder="1"/>
    <x:xf numFmtId="200" fontId="0" fillId="80" borderId="0" xfId="0" applyNumberFormat="1" applyFont="1" applyFill="1" applyBorder="1"/>
    <x:xf numFmtId="200" fontId="0" fillId="80" borderId="0" xfId="0" applyNumberFormat="1" applyFont="1" applyFill="1" applyBorder="1" applyAlignment="1">
      <x:alignment wrapText="1"/>
    </x:xf>
    <x:xf numFmtId="200" fontId="0" fillId="80" borderId="0" xfId="0" applyNumberFormat="1" applyFont="1" applyFill="1" applyBorder="1" applyAlignment="1">
      <x:alignment vertical="center" wrapText="1"/>
    </x:xf>
    <x:xf numFmtId="0" fontId="4" fillId="81" borderId="0" xfId="0" applyNumberFormat="1" applyFont="1" applyFill="1" applyBorder="1" applyAlignment="1">
      <x:alignment vertical="center"/>
    </x:xf>
    <x:xf numFmtId="0" fontId="21" fillId="82" borderId="0" xfId="0" applyNumberFormat="1" applyFont="1" applyFill="1" applyBorder="1" applyAlignment="1">
      <x:alignment vertical="center"/>
    </x:xf>
    <x:xf numFmtId="200" fontId="20" fillId="80" borderId="0" xfId="0" applyNumberFormat="1" applyFont="1" applyFill="1" applyBorder="1" applyAlignment="1">
      <x:alignment horizontal="right" vertical="center"/>
    </x:xf>
    <x:xf numFmtId="0" fontId="0" fillId="83" borderId="0" xfId="0" applyNumberFormat="1" applyFont="1" applyFill="1" applyBorder="1"/>
    <x:xf numFmtId="0" fontId="14" fillId="83" borderId="0" xfId="0" applyNumberFormat="1" applyFont="1" applyFill="1" applyBorder="1"/>
    <x:xf numFmtId="0" fontId="14" fillId="83" borderId="0" xfId="0" applyNumberFormat="1" applyFont="1" applyFill="1" applyBorder="1" applyAlignment="1">
      <x:alignment wrapText="1"/>
    </x:xf>
    <x:xf numFmtId="0" fontId="14" fillId="83" borderId="0" xfId="0" applyNumberFormat="1" applyFont="1" applyFill="1" applyBorder="1" applyAlignment="1">
      <x:alignment horizontal="center" wrapText="1"/>
    </x:xf>
    <x:xf numFmtId="0" fontId="14" fillId="83" borderId="0" xfId="0" applyNumberFormat="1" applyFont="1" applyFill="1" applyBorder="1" applyAlignment="1">
      <x:alignment horizontal="center" vertical="center" wrapText="1"/>
    </x:xf>
    <x:xf numFmtId="0" fontId="0" fillId="84" borderId="0" xfId="0" applyNumberFormat="1" applyFont="1" applyFill="1" applyBorder="1"/>
    <x:xf numFmtId="0" fontId="0" fillId="84" borderId="0" xfId="0" applyNumberFormat="1" applyFont="1" applyFill="1" applyBorder="1" applyAlignment="1">
      <x:alignment wrapText="1"/>
    </x:xf>
    <x:xf numFmtId="0" fontId="0" fillId="84" borderId="0" xfId="0" applyNumberFormat="1" applyFont="1" applyFill="1" applyBorder="1" applyAlignment="1">
      <x:alignment vertical="center" wrapText="1"/>
    </x:xf>
    <x:xf numFmtId="0" fontId="24" fillId="85" borderId="0" xfId="0" applyNumberFormat="1" applyFont="1" applyFill="1" applyBorder="1" applyAlignment="1">
      <x:alignment vertical="center"/>
    </x:xf>
    <x:xf numFmtId="0" fontId="0" fillId="86" borderId="0" xfId="0" applyNumberFormat="1" applyFont="1" applyFill="1" applyBorder="1"/>
    <x:xf numFmtId="200" fontId="0" fillId="86" borderId="0" xfId="0" applyNumberFormat="1" applyFont="1" applyFill="1" applyBorder="1"/>
    <x:xf numFmtId="200" fontId="0" fillId="86" borderId="0" xfId="0" applyNumberFormat="1" applyFont="1" applyFill="1" applyBorder="1" applyAlignment="1">
      <x:alignment wrapText="1"/>
    </x:xf>
    <x:xf numFmtId="200" fontId="0" fillId="86" borderId="0" xfId="0" applyNumberFormat="1" applyFont="1" applyFill="1" applyBorder="1" applyAlignment="1">
      <x:alignment vertical="center" wrapText="1"/>
    </x:xf>
    <x:xf numFmtId="0" fontId="14" fillId="87" borderId="0" xfId="0" applyNumberFormat="1" applyFont="1" applyFill="1" applyBorder="1" applyAlignment="1">
      <x:alignment horizontal="center" vertical="center" wrapText="1"/>
    </x:xf>
    <x:xf numFmtId="0" fontId="0" fillId="88" borderId="0" xfId="0" applyNumberFormat="1" applyFont="1" applyFill="1" applyBorder="1" applyAlignment="1">
      <x:alignment vertical="center" wrapText="1"/>
    </x:xf>
    <x:xf numFmtId="0" fontId="24" fillId="89" borderId="0" xfId="0" applyNumberFormat="1" applyFont="1" applyFill="1" applyBorder="1" applyAlignment="1">
      <x:alignment vertical="center"/>
    </x:xf>
    <x:xf numFmtId="0" fontId="0" fillId="90" borderId="0" xfId="0" applyNumberFormat="1" applyFont="1" applyFill="1" applyBorder="1"/>
    <x:xf numFmtId="200" fontId="0" fillId="90" borderId="0" xfId="0" applyNumberFormat="1" applyFont="1" applyFill="1" applyBorder="1"/>
    <x:xf numFmtId="200" fontId="0" fillId="90" borderId="0" xfId="0" applyNumberFormat="1" applyFont="1" applyFill="1" applyBorder="1" applyAlignment="1">
      <x:alignment wrapText="1"/>
    </x:xf>
    <x:xf numFmtId="200" fontId="0" fillId="90" borderId="0" xfId="0" applyNumberFormat="1" applyFont="1" applyFill="1" applyBorder="1" applyAlignment="1">
      <x:alignment vertical="center" wrapText="1"/>
    </x:xf>
    <x:xf numFmtId="0" fontId="14" fillId="91" borderId="0" xfId="0" applyNumberFormat="1" applyFont="1" applyFill="1" applyBorder="1" applyAlignment="1">
      <x:alignment horizontal="center" vertical="center" wrapText="1"/>
    </x:xf>
    <x:xf numFmtId="0" fontId="0" fillId="92" borderId="0" xfId="0" applyNumberFormat="1" applyFont="1" applyFill="1" applyBorder="1" applyAlignment="1">
      <x:alignment vertical="center" wrapText="1"/>
    </x:xf>
    <x:xf numFmtId="0" fontId="24" fillId="93" borderId="0" xfId="0" applyNumberFormat="1" applyFont="1" applyFill="1" applyBorder="1" applyAlignment="1">
      <x:alignment vertical="center"/>
    </x:xf>
    <x:xf numFmtId="0" fontId="0" fillId="94" borderId="0" xfId="0" applyNumberFormat="1" applyFont="1" applyFill="1" applyBorder="1"/>
    <x:xf numFmtId="200" fontId="0" fillId="94" borderId="0" xfId="0" applyNumberFormat="1" applyFont="1" applyFill="1" applyBorder="1"/>
    <x:xf numFmtId="200" fontId="0" fillId="94" borderId="0" xfId="0" applyNumberFormat="1" applyFont="1" applyFill="1" applyBorder="1" applyAlignment="1">
      <x:alignment wrapText="1"/>
    </x:xf>
    <x:xf numFmtId="200" fontId="0" fillId="94" borderId="0" xfId="0" applyNumberFormat="1" applyFont="1" applyFill="1" applyBorder="1" applyAlignment="1">
      <x:alignment vertical="center" wrapText="1"/>
    </x:xf>
    <x:xf numFmtId="0" fontId="14" fillId="91" borderId="0" xfId="0" applyNumberFormat="1" applyFont="1" applyFill="1" applyBorder="1" applyAlignment="1">
      <x:alignment horizontal="center"/>
    </x:xf>
    <x:xf numFmtId="0" fontId="0" fillId="91" borderId="0" xfId="0" applyNumberFormat="1" applyFont="1" applyFill="1" applyBorder="1"/>
    <x:xf numFmtId="0" fontId="14" fillId="91" borderId="0" xfId="0" applyNumberFormat="1" applyFont="1" applyFill="1" applyBorder="1"/>
    <x:xf numFmtId="0" fontId="14" fillId="91" borderId="0" xfId="0" applyNumberFormat="1" applyFont="1" applyFill="1" applyBorder="1" applyAlignment="1">
      <x:alignment horizontal="center" vertical="center"/>
    </x:xf>
    <x:xf numFmtId="0" fontId="0" fillId="94" borderId="0" xfId="0" applyNumberFormat="1" applyFont="1" applyFill="1" applyBorder="1" applyAlignment="1">
      <x:alignment wrapText="1"/>
    </x:xf>
    <x:xf numFmtId="0" fontId="14" fillId="95" borderId="0" xfId="0" applyNumberFormat="1" applyFont="1" applyFill="1" applyBorder="1" applyAlignment="1">
      <x:alignment horizontal="center" vertical="center" wrapText="1"/>
    </x:xf>
    <x:xf numFmtId="0" fontId="0" fillId="96" borderId="0" xfId="0" applyNumberFormat="1" applyFont="1" applyFill="1" applyBorder="1" applyAlignment="1">
      <x:alignment vertical="center" wrapText="1"/>
    </x:xf>
    <x:xf numFmtId="0" fontId="24" fillId="97" borderId="0" xfId="0" applyNumberFormat="1" applyFont="1" applyFill="1" applyBorder="1" applyAlignment="1">
      <x:alignment vertical="center"/>
    </x:xf>
    <x:xf numFmtId="0" fontId="0" fillId="98" borderId="0" xfId="0" applyNumberFormat="1" applyFont="1" applyFill="1" applyBorder="1"/>
    <x:xf numFmtId="200" fontId="0" fillId="98" borderId="0" xfId="0" applyNumberFormat="1" applyFont="1" applyFill="1" applyBorder="1"/>
    <x:xf numFmtId="200" fontId="0" fillId="98" borderId="0" xfId="0" applyNumberFormat="1" applyFont="1" applyFill="1" applyBorder="1" applyAlignment="1">
      <x:alignment wrapText="1"/>
    </x:xf>
    <x:xf numFmtId="200" fontId="0" fillId="98" borderId="0" xfId="0" applyNumberFormat="1" applyFont="1" applyFill="1" applyBorder="1" applyAlignment="1">
      <x:alignment vertical="center" wrapText="1"/>
    </x:xf>
    <x:xf numFmtId="0" fontId="14" fillId="95" borderId="0" xfId="0" applyNumberFormat="1" applyFont="1" applyFill="1" applyBorder="1" applyAlignment="1">
      <x:alignment horizontal="center" vertical="center"/>
    </x:xf>
    <x:xf numFmtId="0" fontId="15" fillId="95" borderId="0" xfId="0" applyNumberFormat="1" applyFont="1" applyFill="1" applyBorder="1" applyAlignment="1">
      <x:alignment horizontal="left" vertical="center"/>
    </x:xf>
    <x:xf numFmtId="0" fontId="0" fillId="95" borderId="0" xfId="0" applyNumberFormat="1" applyFont="1" applyFill="1" applyBorder="1" applyAlignment="1">
      <x:alignment vertical="center"/>
    </x:xf>
    <x:xf numFmtId="0" fontId="22" fillId="95" borderId="0" xfId="0" applyNumberFormat="1" applyFont="1" applyFill="1" applyBorder="1" applyAlignment="1">
      <x:alignment horizontal="left" vertical="center"/>
    </x:xf>
    <x:xf numFmtId="0" fontId="22" fillId="95" borderId="0" xfId="0" applyNumberFormat="1" applyFont="1" applyFill="1" applyBorder="1" applyAlignment="1">
      <x:alignment vertical="center"/>
    </x:xf>
    <x:xf numFmtId="0" fontId="16" fillId="99" borderId="0" xfId="0" applyNumberFormat="1" applyFont="1" applyFill="1" applyBorder="1" applyAlignment="1">
      <x:alignment vertical="center" wrapText="1"/>
    </x:xf>
    <x:xf numFmtId="0" fontId="0" fillId="99" borderId="0" xfId="0" applyNumberFormat="1" applyFont="1" applyFill="1" applyBorder="1"/>
    <x:xf numFmtId="0" fontId="27" fillId="99" borderId="0" xfId="0" applyNumberFormat="1" applyFont="1" applyFill="1" applyBorder="1" applyAlignment="1">
      <x:alignment vertical="center" wrapText="1"/>
    </x:xf>
    <x:xf numFmtId="0" fontId="27" fillId="99" borderId="0" xfId="0" applyNumberFormat="1" applyFont="1" applyFill="1" applyBorder="1"/>
    <x:xf numFmtId="0" fontId="27" fillId="99" borderId="0" xfId="0" applyNumberFormat="1" applyFont="1" applyFill="1" applyBorder="1" applyAlignment="1">
      <x:alignment vertical="center"/>
    </x:xf>
    <x:xf numFmtId="0" fontId="4" fillId="100" borderId="0" xfId="0" applyNumberFormat="1" applyFont="1" applyFill="1" applyBorder="1" applyAlignment="1">
      <x:alignment vertical="center"/>
    </x:xf>
    <x:xf numFmtId="0" fontId="21" fillId="101" borderId="0" xfId="0" applyNumberFormat="1" applyFont="1" applyFill="1" applyBorder="1"/>
    <x:xf numFmtId="0" fontId="21" fillId="101" borderId="0" xfId="0" applyNumberFormat="1" applyFont="1" applyFill="1" applyBorder="1" applyAlignment="1">
      <x:alignment vertical="center"/>
    </x:xf>
    <x:xf numFmtId="200" fontId="20" fillId="98" borderId="0" xfId="0" applyNumberFormat="1" applyFont="1" applyFill="1" applyBorder="1"/>
    <x:xf numFmtId="201" fontId="20" fillId="98" borderId="0" xfId="0" applyNumberFormat="1" applyFont="1" applyFill="1" applyBorder="1"/>
    <x:xf numFmtId="200" fontId="21" fillId="98" borderId="0" xfId="0" applyNumberFormat="1" applyFont="1" applyFill="1" applyBorder="1"/>
    <x:xf numFmtId="201" fontId="21" fillId="98" borderId="0" xfId="0" applyNumberFormat="1" applyFont="1" applyFill="1" applyBorder="1"/>
    <x:xf numFmtId="200" fontId="21" fillId="98" borderId="0" xfId="0" applyNumberFormat="1" applyFont="1" applyFill="1" applyBorder="1" applyAlignment="1">
      <x:alignment horizontal="right"/>
    </x:xf>
    <x:xf numFmtId="200" fontId="21" fillId="98" borderId="0" xfId="0" applyNumberFormat="1" applyFont="1" applyFill="1" applyBorder="1" applyAlignment="1">
      <x:alignment horizontal="right" vertical="center"/>
    </x:xf>
    <x:xf numFmtId="200" fontId="20" fillId="101" borderId="0" xfId="0" applyNumberFormat="1" applyFont="1" applyFill="1" applyBorder="1"/>
    <x:xf numFmtId="201" fontId="20" fillId="101" borderId="0" xfId="0" applyNumberFormat="1" applyFont="1" applyFill="1" applyBorder="1"/>
    <x:xf numFmtId="200" fontId="20" fillId="101" borderId="0" xfId="0" applyNumberFormat="1" applyFont="1" applyFill="1" applyBorder="1" applyAlignment="1">
      <x:alignment vertical="center"/>
    </x:xf>
    <x:xf numFmtId="201" fontId="20" fillId="101" borderId="0" xfId="0" applyNumberFormat="1" applyFont="1" applyFill="1" applyBorder="1" applyAlignment="1">
      <x:alignment vertical="center"/>
    </x:xf>
    <x:xf numFmtId="0" fontId="19" fillId="96" borderId="0" xfId="0" applyNumberFormat="1" applyFont="1" applyFill="1" applyBorder="1" applyAlignment="1">
      <x:alignment wrapText="1"/>
    </x:xf>
    <x:xf numFmtId="0" fontId="28" fillId="96" borderId="0" xfId="0" applyNumberFormat="1" applyFont="1" applyFill="1" applyBorder="1" applyAlignment="1">
      <x:alignment wrapText="1"/>
    </x:xf>
    <x:xf numFmtId="0" fontId="28" fillId="96" borderId="0" xfId="0" applyNumberFormat="1" applyFont="1" applyFill="1" applyBorder="1" applyAlignment="1">
      <x:alignment vertical="center" wrapText="1"/>
    </x:xf>
    <x:xf numFmtId="0" fontId="4" fillId="95" borderId="0" xfId="0" applyNumberFormat="1" applyFont="1" applyFill="1" applyBorder="1"/>
    <x:xf numFmtId="0" fontId="14" fillId="95" borderId="0" xfId="0" applyNumberFormat="1" applyFont="1" applyFill="1" applyBorder="1"/>
    <x:xf numFmtId="0" fontId="14" fillId="95" borderId="0" xfId="0" applyNumberFormat="1" applyFont="1" applyFill="1" applyBorder="1" applyAlignment="1">
      <x:alignment vertical="center"/>
    </x:xf>
    <x:xf numFmtId="0" fontId="29" fillId="0" borderId="0" xfId="0" applyNumberFormat="1" applyFont="1" applyFill="1" applyBorder="1" applyAlignment="1">
      <x:alignment wrapText="1"/>
    </x:xf>
    <x:xf numFmtId="0" fontId="29" fillId="0" borderId="0" xfId="0" applyNumberFormat="1" applyFont="1" applyFill="1" applyBorder="1" applyAlignment="1">
      <x:alignment vertical="center" wrapText="1"/>
    </x:xf>
    <x:xf numFmtId="200" fontId="21" fillId="98" borderId="0" xfId="0" applyNumberFormat="1" applyFont="1" applyFill="1" applyBorder="1" applyAlignment="1">
      <x:alignment wrapText="1"/>
    </x:xf>
    <x:xf numFmtId="200" fontId="21" fillId="98" borderId="0" xfId="0" applyNumberFormat="1" applyFont="1" applyFill="1" applyBorder="1" applyAlignment="1">
      <x:alignment horizontal="right" wrapText="1"/>
    </x:xf>
    <x:xf numFmtId="200" fontId="21" fillId="98" borderId="0" xfId="0" applyNumberFormat="1" applyFont="1" applyFill="1" applyBorder="1" applyAlignment="1">
      <x:alignment horizontal="right" vertical="center" wrapText="1"/>
    </x:xf>
    <x:xf numFmtId="0" fontId="30" fillId="0" borderId="0" xfId="0" applyNumberFormat="1" applyFont="1" applyFill="1" applyBorder="1" applyAlignment="1">
      <x:alignment wrapText="1"/>
    </x:xf>
    <x:xf numFmtId="0" fontId="30" fillId="0" borderId="0" xfId="0" applyNumberFormat="1" applyFont="1" applyFill="1" applyBorder="1" applyAlignment="1">
      <x:alignment vertical="center" wrapText="1"/>
    </x:xf>
    <x:xf numFmtId="201" fontId="20" fillId="101" borderId="0" xfId="0" applyNumberFormat="1" applyFont="1" applyFill="1" applyBorder="1" applyAlignment="1">
      <x:alignment horizontal="center" vertical="center"/>
    </x:xf>
    <x:xf numFmtId="201" fontId="20" fillId="98" borderId="0" xfId="0" applyNumberFormat="1" applyFont="1" applyFill="1" applyBorder="1" applyAlignment="1">
      <x:alignment horizontal="center" vertical="center"/>
    </x:xf>
    <x:xf numFmtId="201" fontId="21" fillId="98" borderId="0" xfId="0" applyNumberFormat="1" applyFont="1" applyFill="1" applyBorder="1" applyAlignment="1">
      <x:alignment horizontal="center" vertical="center"/>
    </x:xf>
    <x:xf numFmtId="201" fontId="21" fillId="98" borderId="0" xfId="0" applyNumberFormat="1" applyFont="1" applyFill="1" applyBorder="1" applyAlignment="1">
      <x:alignment horizontal="right" vertical="center"/>
    </x:xf>
    <x:xf numFmtId="0" fontId="26" fillId="96" borderId="0" xfId="0" applyNumberFormat="1" applyFont="1" applyFill="1" applyBorder="1" applyAlignment="1">
      <x:alignment vertical="center" wrapText="1"/>
    </x:xf>
    <x:xf numFmtId="201" fontId="26" fillId="96" borderId="0" xfId="0" applyNumberFormat="1" applyFont="1" applyFill="1" applyBorder="1" applyAlignment="1">
      <x:alignment vertical="center" wrapText="1"/>
    </x:xf>
    <x:xf numFmtId="0" fontId="0" fillId="95" borderId="0" xfId="0" applyNumberFormat="1" applyFont="1" applyFill="1" applyBorder="1"/>
    <x:xf numFmtId="0" fontId="4" fillId="95" borderId="0" xfId="0" applyNumberFormat="1" applyFont="1" applyFill="1" applyBorder="1" applyAlignment="1">
      <x:alignment horizontal="center" vertical="center"/>
    </x:xf>
    <x:xf numFmtId="0" fontId="4" fillId="95" borderId="0" xfId="0" applyNumberFormat="1" applyFont="1" applyFill="1" applyBorder="1" applyAlignment="1">
      <x:alignment vertical="center"/>
    </x:xf>
    <x:xf numFmtId="0" fontId="25" fillId="101" borderId="0" xfId="0" applyNumberFormat="1" applyFont="1" applyFill="1" applyBorder="1" applyAlignment="1">
      <x:alignment vertical="center"/>
    </x:xf>
    <x:xf numFmtId="200" fontId="20" fillId="98" borderId="0" xfId="0" applyNumberFormat="1" applyFont="1" applyFill="1" applyBorder="1" applyAlignment="1">
      <x:alignment horizontal="right" vertical="center"/>
    </x:xf>
    <x:xf numFmtId="0" fontId="0" fillId="101" borderId="0" xfId="0" applyNumberFormat="1" applyFont="1" applyFill="1" applyBorder="1"/>
    <x:xf numFmtId="0" fontId="25" fillId="101" borderId="0" xfId="0" applyNumberFormat="1" applyFont="1" applyFill="1" applyBorder="1"/>
    <x:xf numFmtId="0" fontId="19" fillId="96" borderId="0" xfId="0" applyNumberFormat="1" applyFont="1" applyFill="1" applyBorder="1" applyAlignment="1">
      <x:alignment vertical="center" wrapText="1"/>
    </x:xf>
    <x:xf numFmtId="0" fontId="0" fillId="96" borderId="0" xfId="0" applyNumberFormat="1" applyFont="1" applyFill="1" applyBorder="1"/>
    <x:xf numFmtId="0" fontId="28" fillId="96" borderId="0" xfId="0" applyNumberFormat="1" applyFont="1" applyFill="1" applyBorder="1"/>
    <x:xf numFmtId="0" fontId="28" fillId="96" borderId="0" xfId="0" applyNumberFormat="1" applyFont="1" applyFill="1" applyBorder="1" applyAlignment="1">
      <x:alignment vertical="center"/>
    </x:xf>
    <x:xf numFmtId="0" fontId="17" fillId="101" borderId="0" xfId="0" applyNumberFormat="1" applyFont="1" applyFill="1" applyBorder="1"/>
    <x:xf numFmtId="0" fontId="17" fillId="101" borderId="0" xfId="0" applyNumberFormat="1" applyFont="1" applyFill="1" applyBorder="1" applyAlignment="1">
      <x:alignment vertical="center"/>
    </x:xf>
    <x:xf numFmtId="0" fontId="31" fillId="0" borderId="0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0" fontId="31" fillId="0" borderId="0" xfId="0" applyNumberFormat="1" applyFont="1" applyFill="1" applyBorder="1" applyAlignment="1">
      <x:alignment vertical="center" wrapText="1"/>
    </x:xf>
    <x:xf numFmtId="0" fontId="31" fillId="0" borderId="0" xfId="0" applyNumberFormat="1" applyFont="1" applyFill="1" applyBorder="1" applyAlignment="1">
      <x:alignment vertical="center"/>
    </x:xf>
    <x:xf numFmtId="0" fontId="14" fillId="102" borderId="0" xfId="0" applyNumberFormat="1" applyFont="1" applyFill="1" applyBorder="1" applyAlignment="1">
      <x:alignment horizontal="center" vertical="center" wrapText="1"/>
    </x:xf>
    <x:xf numFmtId="0" fontId="0" fillId="103" borderId="0" xfId="0" applyNumberFormat="1" applyFont="1" applyFill="1" applyBorder="1" applyAlignment="1">
      <x:alignment vertical="center" wrapText="1"/>
    </x:xf>
    <x:xf numFmtId="0" fontId="24" fillId="104" borderId="0" xfId="0" applyNumberFormat="1" applyFont="1" applyFill="1" applyBorder="1" applyAlignment="1">
      <x:alignment vertical="center"/>
    </x:xf>
    <x:xf numFmtId="0" fontId="0" fillId="105" borderId="0" xfId="0" applyNumberFormat="1" applyFont="1" applyFill="1" applyBorder="1"/>
    <x:xf numFmtId="200" fontId="0" fillId="105" borderId="0" xfId="0" applyNumberFormat="1" applyFont="1" applyFill="1" applyBorder="1"/>
    <x:xf numFmtId="200" fontId="0" fillId="105" borderId="0" xfId="0" applyNumberFormat="1" applyFont="1" applyFill="1" applyBorder="1" applyAlignment="1">
      <x:alignment wrapText="1"/>
    </x:xf>
    <x:xf numFmtId="200" fontId="0" fillId="105" borderId="0" xfId="0" applyNumberFormat="1" applyFont="1" applyFill="1" applyBorder="1" applyAlignment="1">
      <x:alignment vertical="center" wrapText="1"/>
    </x:xf>
    <x:xf numFmtId="0" fontId="14" fillId="102" borderId="0" xfId="0" applyNumberFormat="1" applyFont="1" applyFill="1" applyBorder="1" applyAlignment="1">
      <x:alignment horizontal="center" vertical="center"/>
    </x:xf>
    <x:xf numFmtId="200" fontId="21" fillId="105" borderId="0" xfId="0" applyNumberFormat="1" applyFont="1" applyFill="1" applyBorder="1" applyAlignment="1">
      <x:alignment horizontal="right" vertical="center" wrapText="1"/>
    </x:xf>
    <x:xf numFmtId="0" fontId="22" fillId="102" borderId="0" xfId="0" applyNumberFormat="1" applyFont="1" applyFill="1" applyBorder="1" applyAlignment="1">
      <x:alignment horizontal="left" vertical="center"/>
    </x:xf>
    <x:xf numFmtId="0" fontId="22" fillId="102" borderId="0" xfId="0" applyNumberFormat="1" applyFont="1" applyFill="1" applyBorder="1" applyAlignment="1">
      <x:alignment vertical="center"/>
    </x:xf>
    <x:xf numFmtId="0" fontId="27" fillId="106" borderId="0" xfId="0" applyNumberFormat="1" applyFont="1" applyFill="1" applyBorder="1" applyAlignment="1">
      <x:alignment vertical="center" wrapText="1"/>
    </x:xf>
    <x:xf numFmtId="0" fontId="27" fillId="106" borderId="0" xfId="0" applyNumberFormat="1" applyFont="1" applyFill="1" applyBorder="1" applyAlignment="1">
      <x:alignment vertical="center"/>
    </x:xf>
    <x:xf numFmtId="0" fontId="4" fillId="107" borderId="0" xfId="0" applyNumberFormat="1" applyFont="1" applyFill="1" applyBorder="1" applyAlignment="1">
      <x:alignment vertical="center"/>
    </x:xf>
    <x:xf numFmtId="0" fontId="21" fillId="108" borderId="0" xfId="0" applyNumberFormat="1" applyFont="1" applyFill="1" applyBorder="1" applyAlignment="1">
      <x:alignment vertical="center"/>
    </x:xf>
    <x:xf numFmtId="200" fontId="21" fillId="105" borderId="0" xfId="0" applyNumberFormat="1" applyFont="1" applyFill="1" applyBorder="1" applyAlignment="1">
      <x:alignment horizontal="right" vertical="center"/>
    </x:xf>
    <x:xf numFmtId="200" fontId="20" fillId="108" borderId="0" xfId="0" applyNumberFormat="1" applyFont="1" applyFill="1" applyBorder="1" applyAlignment="1">
      <x:alignment vertical="center"/>
    </x:xf>
    <x:xf numFmtId="201" fontId="20" fillId="108" borderId="0" xfId="0" applyNumberFormat="1" applyFont="1" applyFill="1" applyBorder="1" applyAlignment="1">
      <x:alignment vertical="center"/>
    </x:xf>
    <x:xf numFmtId="0" fontId="28" fillId="103" borderId="0" xfId="0" applyNumberFormat="1" applyFont="1" applyFill="1" applyBorder="1" applyAlignment="1">
      <x:alignment vertical="center" wrapText="1"/>
    </x:xf>
    <x:xf numFmtId="0" fontId="14" fillId="102" borderId="0" xfId="0" applyNumberFormat="1" applyFont="1" applyFill="1" applyBorder="1" applyAlignment="1">
      <x:alignment vertical="center"/>
    </x:xf>
    <x:xf numFmtId="201" fontId="20" fillId="108" borderId="0" xfId="0" applyNumberFormat="1" applyFont="1" applyFill="1" applyBorder="1" applyAlignment="1">
      <x:alignment horizontal="center" vertical="center"/>
    </x:xf>
    <x:xf numFmtId="201" fontId="21" fillId="108" borderId="0" xfId="0" applyNumberFormat="1" applyFont="1" applyFill="1" applyBorder="1" applyAlignment="1">
      <x:alignment horizontal="right" vertical="center"/>
    </x:xf>
    <x:xf numFmtId="201" fontId="21" fillId="105" borderId="0" xfId="0" applyNumberFormat="1" applyFont="1" applyFill="1" applyBorder="1" applyAlignment="1">
      <x:alignment horizontal="right" vertical="center"/>
    </x:xf>
    <x:xf numFmtId="0" fontId="26" fillId="103" borderId="0" xfId="0" applyNumberFormat="1" applyFont="1" applyFill="1" applyBorder="1" applyAlignment="1">
      <x:alignment vertical="center" wrapText="1"/>
    </x:xf>
    <x:xf numFmtId="201" fontId="26" fillId="103" borderId="0" xfId="0" applyNumberFormat="1" applyFont="1" applyFill="1" applyBorder="1" applyAlignment="1">
      <x:alignment vertical="center" wrapText="1"/>
    </x:xf>
    <x:xf numFmtId="0" fontId="4" fillId="102" borderId="0" xfId="0" applyNumberFormat="1" applyFont="1" applyFill="1" applyBorder="1" applyAlignment="1">
      <x:alignment horizontal="center" vertical="center"/>
    </x:xf>
    <x:xf numFmtId="0" fontId="4" fillId="102" borderId="0" xfId="0" applyNumberFormat="1" applyFont="1" applyFill="1" applyBorder="1" applyAlignment="1">
      <x:alignment vertical="center"/>
    </x:xf>
    <x:xf numFmtId="0" fontId="25" fillId="108" borderId="0" xfId="0" applyNumberFormat="1" applyFont="1" applyFill="1" applyBorder="1" applyAlignment="1">
      <x:alignment vertical="center"/>
    </x:xf>
    <x:xf numFmtId="0" fontId="28" fillId="103" borderId="0" xfId="0" applyNumberFormat="1" applyFont="1" applyFill="1" applyBorder="1" applyAlignment="1">
      <x:alignment vertical="center"/>
    </x:xf>
    <x:xf numFmtId="0" fontId="17" fillId="108" borderId="0" xfId="0" applyNumberFormat="1" applyFont="1" applyFill="1" applyBorder="1" applyAlignment="1">
      <x:alignment vertical="center"/>
    </x:xf>
    <x:xf numFmtId="0" fontId="14" fillId="109" borderId="0" xfId="0" applyNumberFormat="1" applyFont="1" applyFill="1" applyBorder="1" applyAlignment="1">
      <x:alignment horizontal="center" vertical="center" wrapText="1"/>
    </x:xf>
    <x:xf numFmtId="0" fontId="0" fillId="110" borderId="0" xfId="0" applyNumberFormat="1" applyFont="1" applyFill="1" applyBorder="1" applyAlignment="1">
      <x:alignment vertical="center" wrapText="1"/>
    </x:xf>
    <x:xf numFmtId="0" fontId="24" fillId="111" borderId="0" xfId="0" applyNumberFormat="1" applyFont="1" applyFill="1" applyBorder="1" applyAlignment="1">
      <x:alignment vertical="center"/>
    </x:xf>
    <x:xf numFmtId="0" fontId="0" fillId="112" borderId="0" xfId="0" applyNumberFormat="1" applyFont="1" applyFill="1" applyBorder="1"/>
    <x:xf numFmtId="200" fontId="0" fillId="112" borderId="0" xfId="0" applyNumberFormat="1" applyFont="1" applyFill="1" applyBorder="1"/>
    <x:xf numFmtId="200" fontId="0" fillId="112" borderId="0" xfId="0" applyNumberFormat="1" applyFont="1" applyFill="1" applyBorder="1" applyAlignment="1">
      <x:alignment wrapText="1"/>
    </x:xf>
    <x:xf numFmtId="200" fontId="0" fillId="112" borderId="0" xfId="0" applyNumberFormat="1" applyFont="1" applyFill="1" applyBorder="1" applyAlignment="1">
      <x:alignment vertical="center" wrapText="1"/>
    </x:xf>
    <x:xf numFmtId="0" fontId="14" fillId="109" borderId="0" xfId="0" applyNumberFormat="1" applyFont="1" applyFill="1" applyBorder="1" applyAlignment="1">
      <x:alignment horizontal="center" vertical="center"/>
    </x:xf>
    <x:xf numFmtId="200" fontId="21" fillId="112" borderId="0" xfId="0" applyNumberFormat="1" applyFont="1" applyFill="1" applyBorder="1" applyAlignment="1">
      <x:alignment horizontal="right" vertical="center" wrapText="1"/>
    </x:xf>
    <x:xf numFmtId="0" fontId="22" fillId="109" borderId="0" xfId="0" applyNumberFormat="1" applyFont="1" applyFill="1" applyBorder="1" applyAlignment="1">
      <x:alignment horizontal="left" vertical="center"/>
    </x:xf>
    <x:xf numFmtId="0" fontId="22" fillId="109" borderId="0" xfId="0" applyNumberFormat="1" applyFont="1" applyFill="1" applyBorder="1" applyAlignment="1">
      <x:alignment vertical="center"/>
    </x:xf>
    <x:xf numFmtId="0" fontId="27" fillId="113" borderId="0" xfId="0" applyNumberFormat="1" applyFont="1" applyFill="1" applyBorder="1" applyAlignment="1">
      <x:alignment vertical="center" wrapText="1"/>
    </x:xf>
    <x:xf numFmtId="0" fontId="27" fillId="113" borderId="0" xfId="0" applyNumberFormat="1" applyFont="1" applyFill="1" applyBorder="1" applyAlignment="1">
      <x:alignment vertical="center"/>
    </x:xf>
    <x:xf numFmtId="0" fontId="4" fillId="114" borderId="0" xfId="0" applyNumberFormat="1" applyFont="1" applyFill="1" applyBorder="1" applyAlignment="1">
      <x:alignment vertical="center"/>
    </x:xf>
    <x:xf numFmtId="0" fontId="21" fillId="115" borderId="0" xfId="0" applyNumberFormat="1" applyFont="1" applyFill="1" applyBorder="1" applyAlignment="1">
      <x:alignment vertical="center"/>
    </x:xf>
    <x:xf numFmtId="200" fontId="21" fillId="112" borderId="0" xfId="0" applyNumberFormat="1" applyFont="1" applyFill="1" applyBorder="1" applyAlignment="1">
      <x:alignment horizontal="right" vertical="center"/>
    </x:xf>
    <x:xf numFmtId="200" fontId="20" fillId="115" borderId="0" xfId="0" applyNumberFormat="1" applyFont="1" applyFill="1" applyBorder="1" applyAlignment="1">
      <x:alignment vertical="center"/>
    </x:xf>
    <x:xf numFmtId="201" fontId="20" fillId="115" borderId="0" xfId="0" applyNumberFormat="1" applyFont="1" applyFill="1" applyBorder="1" applyAlignment="1">
      <x:alignment vertical="center"/>
    </x:xf>
    <x:xf numFmtId="0" fontId="28" fillId="110" borderId="0" xfId="0" applyNumberFormat="1" applyFont="1" applyFill="1" applyBorder="1" applyAlignment="1">
      <x:alignment vertical="center" wrapText="1"/>
    </x:xf>
    <x:xf numFmtId="0" fontId="14" fillId="109" borderId="0" xfId="0" applyNumberFormat="1" applyFont="1" applyFill="1" applyBorder="1" applyAlignment="1">
      <x:alignment vertical="center"/>
    </x:xf>
    <x:xf numFmtId="201" fontId="20" fillId="115" borderId="0" xfId="0" applyNumberFormat="1" applyFont="1" applyFill="1" applyBorder="1" applyAlignment="1">
      <x:alignment horizontal="center" vertical="center"/>
    </x:xf>
    <x:xf numFmtId="201" fontId="21" fillId="115" borderId="0" xfId="0" applyNumberFormat="1" applyFont="1" applyFill="1" applyBorder="1" applyAlignment="1">
      <x:alignment horizontal="right" vertical="center"/>
    </x:xf>
    <x:xf numFmtId="201" fontId="21" fillId="112" borderId="0" xfId="0" applyNumberFormat="1" applyFont="1" applyFill="1" applyBorder="1" applyAlignment="1">
      <x:alignment horizontal="right" vertical="center"/>
    </x:xf>
    <x:xf numFmtId="0" fontId="26" fillId="110" borderId="0" xfId="0" applyNumberFormat="1" applyFont="1" applyFill="1" applyBorder="1" applyAlignment="1">
      <x:alignment vertical="center" wrapText="1"/>
    </x:xf>
    <x:xf numFmtId="201" fontId="26" fillId="110" borderId="0" xfId="0" applyNumberFormat="1" applyFont="1" applyFill="1" applyBorder="1" applyAlignment="1">
      <x:alignment vertical="center" wrapText="1"/>
    </x:xf>
    <x:xf numFmtId="0" fontId="4" fillId="109" borderId="0" xfId="0" applyNumberFormat="1" applyFont="1" applyFill="1" applyBorder="1" applyAlignment="1">
      <x:alignment horizontal="center" vertical="center"/>
    </x:xf>
    <x:xf numFmtId="0" fontId="4" fillId="109" borderId="0" xfId="0" applyNumberFormat="1" applyFont="1" applyFill="1" applyBorder="1" applyAlignment="1">
      <x:alignment vertical="center"/>
    </x:xf>
    <x:xf numFmtId="0" fontId="25" fillId="115" borderId="0" xfId="0" applyNumberFormat="1" applyFont="1" applyFill="1" applyBorder="1" applyAlignment="1">
      <x:alignment vertical="center"/>
    </x:xf>
    <x:xf numFmtId="0" fontId="28" fillId="110" borderId="0" xfId="0" applyNumberFormat="1" applyFont="1" applyFill="1" applyBorder="1" applyAlignment="1">
      <x:alignment vertical="center"/>
    </x:xf>
    <x:xf numFmtId="0" fontId="17" fillId="115" borderId="0" xfId="0" applyNumberFormat="1" applyFont="1" applyFill="1" applyBorder="1" applyAlignment="1">
      <x:alignment vertical="center"/>
    </x:xf>
    <x:xf numFmtId="0" fontId="32" fillId="115" borderId="0" xfId="0" applyNumberFormat="1" applyFont="1" applyFill="1" applyBorder="1" applyAlignment="1">
      <x:alignment vertical="center"/>
    </x:xf>
    <x:xf numFmtId="0" fontId="14" fillId="116" borderId="0" xfId="0" applyNumberFormat="1" applyFont="1" applyFill="1" applyBorder="1" applyAlignment="1">
      <x:alignment horizontal="center" vertical="center" wrapText="1"/>
    </x:xf>
    <x:xf numFmtId="0" fontId="0" fillId="117" borderId="0" xfId="0" applyNumberFormat="1" applyFont="1" applyFill="1" applyBorder="1" applyAlignment="1">
      <x:alignment vertical="center" wrapText="1"/>
    </x:xf>
    <x:xf numFmtId="0" fontId="24" fillId="118" borderId="0" xfId="0" applyNumberFormat="1" applyFont="1" applyFill="1" applyBorder="1" applyAlignment="1">
      <x:alignment vertical="center"/>
    </x:xf>
    <x:xf numFmtId="0" fontId="0" fillId="119" borderId="0" xfId="0" applyNumberFormat="1" applyFont="1" applyFill="1" applyBorder="1"/>
    <x:xf numFmtId="200" fontId="0" fillId="119" borderId="0" xfId="0" applyNumberFormat="1" applyFont="1" applyFill="1" applyBorder="1"/>
    <x:xf numFmtId="200" fontId="0" fillId="119" borderId="0" xfId="0" applyNumberFormat="1" applyFont="1" applyFill="1" applyBorder="1" applyAlignment="1">
      <x:alignment wrapText="1"/>
    </x:xf>
    <x:xf numFmtId="200" fontId="0" fillId="119" borderId="0" xfId="0" applyNumberFormat="1" applyFont="1" applyFill="1" applyBorder="1" applyAlignment="1">
      <x:alignment vertical="center" wrapText="1"/>
    </x:xf>
    <x:xf numFmtId="0" fontId="14" fillId="116" borderId="0" xfId="0" applyNumberFormat="1" applyFont="1" applyFill="1" applyBorder="1" applyAlignment="1">
      <x:alignment horizontal="center" vertical="center"/>
    </x:xf>
    <x:xf numFmtId="200" fontId="21" fillId="119" borderId="0" xfId="0" applyNumberFormat="1" applyFont="1" applyFill="1" applyBorder="1" applyAlignment="1">
      <x:alignment horizontal="right" vertical="center" wrapText="1"/>
    </x:xf>
    <x:xf numFmtId="0" fontId="22" fillId="116" borderId="0" xfId="0" applyNumberFormat="1" applyFont="1" applyFill="1" applyBorder="1" applyAlignment="1">
      <x:alignment horizontal="left" vertical="center"/>
    </x:xf>
    <x:xf numFmtId="0" fontId="22" fillId="116" borderId="0" xfId="0" applyNumberFormat="1" applyFont="1" applyFill="1" applyBorder="1" applyAlignment="1">
      <x:alignment vertical="center"/>
    </x:xf>
    <x:xf numFmtId="0" fontId="27" fillId="120" borderId="0" xfId="0" applyNumberFormat="1" applyFont="1" applyFill="1" applyBorder="1" applyAlignment="1">
      <x:alignment vertical="center" wrapText="1"/>
    </x:xf>
    <x:xf numFmtId="0" fontId="27" fillId="120" borderId="0" xfId="0" applyNumberFormat="1" applyFont="1" applyFill="1" applyBorder="1" applyAlignment="1">
      <x:alignment vertical="center"/>
    </x:xf>
    <x:xf numFmtId="0" fontId="4" fillId="121" borderId="0" xfId="0" applyNumberFormat="1" applyFont="1" applyFill="1" applyBorder="1" applyAlignment="1">
      <x:alignment vertical="center"/>
    </x:xf>
    <x:xf numFmtId="0" fontId="21" fillId="122" borderId="0" xfId="0" applyNumberFormat="1" applyFont="1" applyFill="1" applyBorder="1" applyAlignment="1">
      <x:alignment vertical="center"/>
    </x:xf>
    <x:xf numFmtId="200" fontId="21" fillId="119" borderId="0" xfId="0" applyNumberFormat="1" applyFont="1" applyFill="1" applyBorder="1" applyAlignment="1">
      <x:alignment horizontal="right" vertical="center"/>
    </x:xf>
    <x:xf numFmtId="200" fontId="20" fillId="122" borderId="0" xfId="0" applyNumberFormat="1" applyFont="1" applyFill="1" applyBorder="1" applyAlignment="1">
      <x:alignment vertical="center"/>
    </x:xf>
    <x:xf numFmtId="201" fontId="20" fillId="122" borderId="0" xfId="0" applyNumberFormat="1" applyFont="1" applyFill="1" applyBorder="1" applyAlignment="1">
      <x:alignment vertical="center"/>
    </x:xf>
    <x:xf numFmtId="0" fontId="28" fillId="117" borderId="0" xfId="0" applyNumberFormat="1" applyFont="1" applyFill="1" applyBorder="1" applyAlignment="1">
      <x:alignment vertical="center" wrapText="1"/>
    </x:xf>
    <x:xf numFmtId="0" fontId="14" fillId="116" borderId="0" xfId="0" applyNumberFormat="1" applyFont="1" applyFill="1" applyBorder="1" applyAlignment="1">
      <x:alignment vertical="center"/>
    </x:xf>
    <x:xf numFmtId="201" fontId="20" fillId="122" borderId="0" xfId="0" applyNumberFormat="1" applyFont="1" applyFill="1" applyBorder="1" applyAlignment="1">
      <x:alignment horizontal="center" vertical="center"/>
    </x:xf>
    <x:xf numFmtId="201" fontId="21" fillId="122" borderId="0" xfId="0" applyNumberFormat="1" applyFont="1" applyFill="1" applyBorder="1" applyAlignment="1">
      <x:alignment horizontal="right" vertical="center"/>
    </x:xf>
    <x:xf numFmtId="201" fontId="21" fillId="119" borderId="0" xfId="0" applyNumberFormat="1" applyFont="1" applyFill="1" applyBorder="1" applyAlignment="1">
      <x:alignment horizontal="right" vertical="center"/>
    </x:xf>
    <x:xf numFmtId="0" fontId="26" fillId="117" borderId="0" xfId="0" applyNumberFormat="1" applyFont="1" applyFill="1" applyBorder="1" applyAlignment="1">
      <x:alignment vertical="center" wrapText="1"/>
    </x:xf>
    <x:xf numFmtId="201" fontId="26" fillId="117" borderId="0" xfId="0" applyNumberFormat="1" applyFont="1" applyFill="1" applyBorder="1" applyAlignment="1">
      <x:alignment vertical="center" wrapText="1"/>
    </x:xf>
    <x:xf numFmtId="0" fontId="4" fillId="116" borderId="0" xfId="0" applyNumberFormat="1" applyFont="1" applyFill="1" applyBorder="1" applyAlignment="1">
      <x:alignment horizontal="center" vertical="center"/>
    </x:xf>
    <x:xf numFmtId="0" fontId="4" fillId="116" borderId="0" xfId="0" applyNumberFormat="1" applyFont="1" applyFill="1" applyBorder="1" applyAlignment="1">
      <x:alignment vertical="center"/>
    </x:xf>
    <x:xf numFmtId="0" fontId="25" fillId="122" borderId="0" xfId="0" applyNumberFormat="1" applyFont="1" applyFill="1" applyBorder="1" applyAlignment="1">
      <x:alignment vertical="center"/>
    </x:xf>
    <x:xf numFmtId="0" fontId="28" fillId="117" borderId="0" xfId="0" applyNumberFormat="1" applyFont="1" applyFill="1" applyBorder="1" applyAlignment="1">
      <x:alignment vertical="center"/>
    </x:xf>
    <x:xf numFmtId="0" fontId="32" fillId="122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8" borderId="0" xfId="0" applyNumberFormat="1" applyFont="1" applyFill="1" applyBorder="1" applyAlignment="1">
      <x:alignment horizont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</x:cellXfs>
  <x:cellStyles count="2">
    <x:cellStyle name="Hyperlink" xfId="1"/>
    <x:cellStyle name="Normal" xfId="0"/>
  </x:cellStyles>
  <x:dxfs count="2">
    <x:dxf>
      <x:font>
        <x:b/>
        <x:color rgb="FF8A5A00"/>
      </x:font>
      <x:fill>
        <x:patternFill>
          <x:bgColor rgb="FFFFF3D5"/>
        </x:patternFill>
      </x:fill>
    </x:dxf>
    <x:dxf>
      <x:font>
        <x:b/>
        <x:color rgb="FF087F6D"/>
      </x:font>
      <x:fill>
        <x:patternFill>
          <x:bgColor rgb="FFDDF5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1d7dd0927245d4" /><Relationship Type="http://schemas.openxmlformats.org/officeDocument/2006/relationships/theme" Target="/xl/theme/theme1.xml" Id="R3ea139c84108458e" /><Relationship Type="http://schemas.openxmlformats.org/officeDocument/2006/relationships/sharedStrings" Target="/xl/sharedStrings.xml" Id="R728a9e5bb452448c" /><Relationship Type="http://schemas.openxmlformats.org/officeDocument/2006/relationships/worksheet" Target="/xl/worksheets/sheet1.xml" Id="Rf3eb7d3a2d044279" /><Relationship Type="http://schemas.openxmlformats.org/officeDocument/2006/relationships/worksheet" Target="/xl/worksheets/sheet2.xml" Id="Rcf2c87ce3c014b61" /><Relationship Type="http://schemas.openxmlformats.org/officeDocument/2006/relationships/worksheet" Target="/xl/worksheets/sheet3.xml" Id="Rd67cee7c997a45af" /><Relationship Type="http://schemas.openxmlformats.org/officeDocument/2006/relationships/worksheet" Target="/xl/worksheets/sheet4.xml" Id="Re577843c51a24688" /><Relationship Type="http://schemas.openxmlformats.org/officeDocument/2006/relationships/worksheet" Target="/xl/worksheets/sheet5.xml" Id="Re4816178b819492a" /><Relationship Type="http://schemas.openxmlformats.org/officeDocument/2006/relationships/worksheet" Target="/xl/worksheets/sheet6.xml" Id="R69777ab880874ded" /></Relationships>
</file>

<file path=xl/tables/table1.xml><?xml version="1.0" encoding="utf-8"?>
<x:table xmlns:x="http://schemas.openxmlformats.org/spreadsheetml/2006/main" id="49" name="PeopleDirectory" displayName="PeopleDirectory" ref="A4:E97" totalsRowShown="0">
  <x:autoFilter ref="A4:E97"/>
  <x:tableColumns count="5">
    <x:tableColumn id="1" name="Person ID"/>
    <x:tableColumn id="2" name="Name"/>
    <x:tableColumn id="3" name="Hackathon #s"/>
    <x:tableColumn id="4" name="Builds Together"/>
    <x:tableColumn id="5" name="LinkedIn URL"/>
  </x:tableColumns>
  <x:tableStyleInfo name="TableStyleMedium11" showFirstColumn="0" showLastColumn="0" showRowStripes="1" showColumnStripes="0"/>
</x:table>
</file>

<file path=xl/tables/table2.xml><?xml version="1.0" encoding="utf-8"?>
<x:table xmlns:x="http://schemas.openxmlformats.org/spreadsheetml/2006/main" id="50" name="HackathonSocials" displayName="HackathonSocials" ref="A4:D78" totalsRowShown="0">
  <x:autoFilter ref="A4:D78"/>
  <x:tableColumns count="4">
    <x:tableColumn id="1" name="#003"/>
    <x:tableColumn id="2" name="Column2"/>
    <x:tableColumn id="3" name="Column3"/>
    <x:tableColumn id="4" name="https://www.facebook.com/sayyid.iskandar/posts/pfbid02Pe825qMCQjUtnq2pV3hrWkjA4M4d84rnu5A5EcKpJvVgUcryDreMbBctzf1tfRmUl&#10;https://www.facebook.com/sayyid.iskandar/posts/pfbid02cFPjLu46modzujHU2tLgNSXrfdTdnXLLAm35UdVFj8UU7YsW9KQWLoXJinq2ahDxl"/>
  </x:tableColumns>
  <x:tableStyleInfo name="TableStyleMedium11" showFirstColumn="0" showLastColumn="0" showRowStripes="1" showColumnStripes="0"/>
</x:table>
</file>

<file path=xl/tables/table3.xml><?xml version="1.0" encoding="utf-8"?>
<x:table xmlns:x="http://schemas.openxmlformats.org/spreadsheetml/2006/main" id="51" name="PrizeDetailsTable" displayName="PrizeDetailsTable" ref="A4:Y28" headerRowCount="1" totalsRowCount="0" totalsRowShown="0">
  <x:autoFilter ref="A4:Y28"/>
  <x:tableColumns count="25">
    <x:tableColumn id="1" name="#"/>
    <x:tableColumn id="2" name="Hackathon"/>
    <x:tableColumn id="3" name="Award Summary"/>
    <x:tableColumn id="4" name="Award Type"/>
    <x:tableColumn id="5" name="Additional Info"/>
    <x:tableColumn id="6" name="Hackathon Team Members"/>
    <x:tableColumn id="7" name="Prize Allocation"/>
    <x:tableColumn id="8" name="Team Cash"/>
    <x:tableColumn id="9" name="Cash Currency"/>
    <x:tableColumn id="10" name="Individual Cash"/>
    <x:tableColumn id="11" name="Team Credits"/>
    <x:tableColumn id="12" name="Credit Currency / Units"/>
    <x:tableColumn id="13" name="Individual Credits"/>
    <x:tableColumn id="14" name="Team Subscription Count"/>
    <x:tableColumn id="15" name="Team Subscription Value"/>
    <x:tableColumn id="16" name="Subscription Currency"/>
    <x:tableColumn id="17" name="Individual Subscription Value"/>
    <x:tableColumn id="18" name="Team Funding"/>
    <x:tableColumn id="19" name="Funding Currency"/>
    <x:tableColumn id="20" name="Individual Funding"/>
    <x:tableColumn id="21" name="Other Non-cash Prize"/>
    <x:tableColumn id="22" name="Physical Asset"/>
    <x:tableColumn id="23" name="Trophy Count"/>
    <x:tableColumn id="24" name="Money Counted?"/>
    <x:tableColumn id="25" name="Review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github.com/cheonglol/superai-next-hackathon-2025" TargetMode="External" Id="R407f6600d7cf4d1a" /><Relationship Type="http://schemas.openxmlformats.org/officeDocument/2006/relationships/hyperlink" Target="https://luma.com/tgbspeechmatics1?tk=NaV6RE" TargetMode="External" Id="R85e70bf7e0704e2d" /><Relationship Type="http://schemas.openxmlformats.org/officeDocument/2006/relationships/hyperlink" Target="https://luma.com/bh5iqhnx?tk=17u8ZH" TargetMode="External" Id="Rb1da0f8bdb9e4a4e" /><Relationship Type="http://schemas.openxmlformats.org/officeDocument/2006/relationships/hyperlink" Target="https://github.com/gigradarapp/gr-atlas" TargetMode="External" Id="Rcf1ff4034fde45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linkedin.com/in/abdul-hakam-bin-nor-razak-nus/" TargetMode="External" Id="R330205f6308141a0" /><Relationship Type="http://schemas.openxmlformats.org/officeDocument/2006/relationships/hyperlink" Target="https://www.linkedin.com/in/akmal-hakim-teo/" TargetMode="External" Id="R177df26fc7f54b34" /><Relationship Type="http://schemas.openxmlformats.org/officeDocument/2006/relationships/table" Target="/xl/tables/table1.xml" Id="R0673638f48724e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29a57bfebf42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1c5b9a36af9e4557" /></Relationships>
</file>

<file path=xl/worksheets/sheet1.xml><?xml version="1.0" encoding="utf-8"?>
<x:worksheet xmlns:x="http://schemas.openxmlformats.org/spreadsheetml/2006/main">
  <x:sheetFormatPr baseColWidth="10" defaultRowHeight="16"/>
  <x:cols>
    <x:col min="2" max="2" width="53.1640625" customWidth="1"/>
    <x:col min="3" max="3" width="38.6640625" customWidth="1"/>
    <x:col min="4" max="4" width="20.33203125" style="2" customWidth="1"/>
    <x:col min="5" max="5" width="8.1640625" customWidth="1"/>
    <x:col min="6" max="6" width="12.1640625" customWidth="1"/>
    <x:col min="7" max="7" width="53.33203125" customWidth="1"/>
    <x:col min="8" max="8" width="32.83203125" customWidth="1"/>
    <x:col min="9" max="9" width="75.83203125" customWidth="1"/>
    <x:col min="10" max="10" width="61" customWidth="1"/>
    <x:col min="11" max="11" width="40.1640625" customWidth="1"/>
    <x:col min="12" max="12" width="34.33203125" customWidth="1"/>
    <x:col min="13" max="13" width="31.33203125" customWidth="1"/>
    <x:col min="14" max="14" width="45.5" customWidth="1"/>
    <x:col min="15" max="15" width="62.1640625" customWidth="1"/>
    <x:col min="16" max="16" width="49.1640625" customWidth="1"/>
    <x:col min="17" max="17" width="20" hidden="0" customWidth="1"/>
    <x:col min="18" max="18" width="28" hidden="0" customWidth="1"/>
    <x:col min="19" max="19" width="18" hidden="0" customWidth="1"/>
    <x:col min="20" max="20" width="20" hidden="0" customWidth="1"/>
    <x:col min="21" max="21" width="16" hidden="0" customWidth="1"/>
    <x:col min="22" max="22" width="22" hidden="0" customWidth="1"/>
    <x:col min="23" max="23" width="16" hidden="0" customWidth="1"/>
    <x:col min="24" max="24" width="18" hidden="0" customWidth="1"/>
    <x:col min="25" max="25" width="20" hidden="0" customWidth="1"/>
    <x:col min="26" max="26" width="32" hidden="0" customWidth="1"/>
    <x:col min="27" max="27" width="20" hidden="0" customWidth="1"/>
    <x:col min="28" max="28" width="14" hidden="0" customWidth="1"/>
    <x:col min="29" max="29" width="16" hidden="0" customWidth="1"/>
    <x:col min="30" max="30" width="18" hidden="0" customWidth="1"/>
    <x:col min="31" max="31" width="22" hidden="0" customWidth="1"/>
    <x:col min="32" max="32" width="32" hidden="0" customWidth="1"/>
    <x:col min="33" max="33" width="58" hidden="0" customWidth="1"/>
    <x:col min="34" max="34" width="20" hidden="0" customWidth="1"/>
    <x:col min="35" max="35" width="20" hidden="0" customWidth="1"/>
  </x:cols>
  <x:sheetData>
    <x:row r="1" ht="38" customHeight="1">
      <x:c r="A1" t="s">
        <x:v>0</x:v>
      </x:c>
      <x:c r="B1" t="s">
        <x:v>1</x:v>
      </x:c>
      <x:c r="C1" t="s">
        <x:v>2</x:v>
      </x:c>
      <x:c r="D1" s="2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s="26" t="str">
        <x:v>Award Type</x:v>
      </x:c>
      <x:c r="R1" s="26" t="str">
        <x:v>Additional Info</x:v>
      </x:c>
      <x:c r="S1" s="26" t="str">
        <x:v>Cash-equivalent Amount</x:v>
      </x:c>
      <x:c r="T1" s="26" t="str">
        <x:v>Cash-equivalent Currency</x:v>
      </x:c>
      <x:c r="U1" s="26" t="str">
        <x:v>Credit Amount</x:v>
      </x:c>
      <x:c r="V1" s="26" t="str">
        <x:v>Credit Currency / Units</x:v>
      </x:c>
      <x:c r="W1" s="26" t="str">
        <x:v>Subscription Count</x:v>
      </x:c>
      <x:c r="X1" s="26" t="str">
        <x:v>Subscription Amount</x:v>
      </x:c>
      <x:c r="Y1" s="26" t="str">
        <x:v>Subscription Currency</x:v>
      </x:c>
      <x:c r="Z1" s="26" t="str">
        <x:v>Other Non-cash Prize</x:v>
      </x:c>
      <x:c r="AA1" s="26" t="str">
        <x:v>Physical Asset</x:v>
      </x:c>
      <x:c r="AB1" s="26" t="str">
        <x:v>Trophy Count</x:v>
      </x:c>
      <x:c r="AC1" s="26" t="str">
        <x:v>Funding Amount</x:v>
      </x:c>
      <x:c r="AD1" s="26" t="str">
        <x:v>Funding Currency</x:v>
      </x:c>
      <x:c r="AE1" s="26" t="str">
        <x:v>Cash-equivalent Treatment</x:v>
      </x:c>
      <x:c r="AF1" s="26" t="str">
        <x:v>Review Note</x:v>
      </x:c>
      <x:c r="AG1" s="195" t="str">
        <x:v>Award Summary</x:v>
      </x:c>
      <x:c r="AH1" s="203" t="str">
        <x:v>Hackathon Team Members</x:v>
      </x:c>
      <x:c r="AI1" s="492" t="str">
        <x:v>Prize Allocation</x:v>
      </x:c>
    </x:row>
    <x:row r="2">
      <x:c r="A2">
        <x:v>1</x:v>
      </x:c>
      <x:c r="B2" t="s">
        <x:v>16</x:v>
      </x:c>
      <x:c r="C2" t="s">
        <x:v>17</x:v>
      </x:c>
      <x:c r="D2" s="2" t="s">
        <x:v>18</x:v>
      </x:c>
      <x:c r="E2">
        <x:v>3</x:v>
      </x:c>
      <x:c r="F2" t="s">
        <x:v>19</x:v>
      </x:c>
      <x:c r="G2" t="str">
        <x:v>1st Place — S$18,000 Seed Funding</x:v>
      </x:c>
      <x:c r="H2" t="s">
        <x:v>20</x:v>
      </x:c>
      <x:c r="I2" t="s">
        <x:v>21</x:v>
      </x:c>
      <x:c r="J2" t="s">
        <x:v>22</x:v>
      </x:c>
      <x:c r="K2" t="s">
        <x:v>23</x:v>
      </x:c>
      <x:c r="L2" t="s">
        <x:v>24</x:v>
      </x:c>
      <x:c r="M2" t="s">
        <x:v>25</x:v>
      </x:c>
      <x:c r="N2" t="s">
        <x:v>26</x:v>
      </x:c>
      <x:c r="O2" t="s">
        <x:v>24</x:v>
      </x:c>
      <x:c r="P2" t="s">
        <x:v>24</x:v>
      </x:c>
      <x:c r="Q2" s="36" t="str">
        <x:v>1st Place</x:v>
      </x:c>
      <x:c r="R2" s="36"/>
      <x:c r="S2" s="37"/>
      <x:c r="T2" s="38"/>
      <x:c r="U2" s="37"/>
      <x:c r="V2" s="38"/>
      <x:c r="W2" s="38"/>
      <x:c r="X2" s="37"/>
      <x:c r="Y2" s="38"/>
      <x:c r="Z2" s="36"/>
      <x:c r="AA2" s="36"/>
      <x:c r="AB2" s="39"/>
      <x:c r="AC2" s="40" t="n">
        <x:v>18000</x:v>
      </x:c>
      <x:c r="AD2" s="36" t="str">
        <x:v>SGD</x:v>
      </x:c>
      <x:c r="AE2" s="38" t="str">
        <x:v>Exclude</x:v>
      </x:c>
      <x:c r="AF2" s="38" t="str">
        <x:v>Funding, not a cash prize</x:v>
      </x:c>
      <x:c r="AG2" s="198" t="str">
        <x:f>G2</x:f>
        <x:v>1st Place — S$18,000 Seed Funding</x:v>
      </x:c>
      <x:c r="AH2" s="214" t="n">
        <x:f>IF(OR(J2="",J2="-"),"",LEN(J2)-LEN(SUBSTITUTE(J2,",",""))+1)</x:f>
        <x:v>5</x:v>
      </x:c>
      <x:c r="AI2" s="493" t="str">
        <x:v>Per Team</x:v>
      </x:c>
    </x:row>
    <x:row r="3">
      <x:c r="A3">
        <x:v>2</x:v>
      </x:c>
      <x:c r="B3" t="s">
        <x:v>27</x:v>
      </x:c>
      <x:c r="C3" t="s">
        <x:v>28</x:v>
      </x:c>
      <x:c r="D3" s="2" t="s">
        <x:v>29</x:v>
      </x:c>
      <x:c r="E3">
        <x:v>1</x:v>
      </x:c>
      <x:c r="F3" t="s">
        <x:v>30</x:v>
      </x:c>
      <x:c r="G3" t="str">
        <x:v>-</x:v>
      </x:c>
      <x:c r="H3" t="s">
        <x:v>20</x:v>
      </x:c>
      <x:c r="I3" t="s">
        <x:v>21</x:v>
      </x:c>
      <x:c r="J3" t="s">
        <x:v>31</x:v>
      </x:c>
      <x:c r="K3" t="s">
        <x:v>32</x:v>
      </x:c>
      <x:c r="L3" t="s">
        <x:v>33</x:v>
      </x:c>
      <x:c r="M3" t="s">
        <x:v>25</x:v>
      </x:c>
      <x:c r="N3" t="s">
        <x:v>34</x:v>
      </x:c>
      <x:c r="O3" t="s">
        <x:v>24</x:v>
      </x:c>
      <x:c r="P3" t="s">
        <x:v>24</x:v>
      </x:c>
      <x:c r="Q3" s="36"/>
      <x:c r="R3" s="36"/>
      <x:c r="S3" s="37"/>
      <x:c r="T3" s="38"/>
      <x:c r="U3" s="37"/>
      <x:c r="V3" s="38"/>
      <x:c r="W3" s="38"/>
      <x:c r="X3" s="37"/>
      <x:c r="Y3" s="38"/>
      <x:c r="Z3" s="36"/>
      <x:c r="AA3" s="36"/>
      <x:c r="AB3" s="39"/>
      <x:c r="AC3" s="40"/>
      <x:c r="AD3" s="36"/>
      <x:c r="AE3" s="38"/>
      <x:c r="AF3" s="38"/>
      <x:c r="AG3" s="198"/>
      <x:c r="AH3" s="214" t="n">
        <x:f>IF(OR(J3="",J3="-"),"",LEN(J3)-LEN(SUBSTITUTE(J3,",",""))+1)</x:f>
        <x:v>4</x:v>
      </x:c>
      <x:c r="AI3" s="493"/>
    </x:row>
    <x:row r="4">
      <x:c r="A4">
        <x:v>3</x:v>
      </x:c>
      <x:c r="B4" t="s">
        <x:v>35</x:v>
      </x:c>
      <x:c r="C4" t="s">
        <x:v>36</x:v>
      </x:c>
      <x:c r="D4" s="3">
        <x:v>42644</x:v>
      </x:c>
      <x:c r="E4">
        <x:v>2</x:v>
      </x:c>
      <x:c r="F4" t="s">
        <x:v>19</x:v>
      </x:c>
      <x:c r="G4" t="str">
        <x:v>Best Project</x:v>
      </x:c>
      <x:c r="H4" t="s">
        <x:v>37</x:v>
      </x:c>
      <x:c r="I4" t="s">
        <x:v>38</x:v>
      </x:c>
      <x:c r="J4" t="s">
        <x:v>39</x:v>
      </x:c>
      <x:c r="K4" t="s">
        <x:v>40</x:v>
      </x:c>
      <x:c r="L4" t="s">
        <x:v>41</x:v>
      </x:c>
      <x:c r="M4" t="s">
        <x:v>25</x:v>
      </x:c>
      <x:c r="N4" t="s">
        <x:v>42</x:v>
      </x:c>
      <x:c r="O4" t="s">
        <x:v>24</x:v>
      </x:c>
      <x:c r="P4" t="s">
        <x:v>24</x:v>
      </x:c>
      <x:c r="Q4" s="36" t="str">
        <x:v>Best Project</x:v>
      </x:c>
      <x:c r="R4" s="36" t="str">
        <x:v>Rated best project</x:v>
      </x:c>
      <x:c r="S4" s="37"/>
      <x:c r="T4" s="38"/>
      <x:c r="U4" s="37"/>
      <x:c r="V4" s="38"/>
      <x:c r="W4" s="38"/>
      <x:c r="X4" s="37"/>
      <x:c r="Y4" s="38"/>
      <x:c r="Z4" s="36"/>
      <x:c r="AA4" s="36"/>
      <x:c r="AB4" s="39"/>
      <x:c r="AC4" s="40"/>
      <x:c r="AD4" s="36"/>
      <x:c r="AE4" s="38" t="str">
        <x:v>Exclude</x:v>
      </x:c>
      <x:c r="AF4" s="38" t="str">
        <x:v>Recognition only</x:v>
      </x:c>
      <x:c r="AG4" s="198" t="str">
        <x:f>G4</x:f>
        <x:v>Best Project</x:v>
      </x:c>
      <x:c r="AH4" s="214" t="n">
        <x:f>IF(OR(J4="",J4="-"),"",LEN(J4)-LEN(SUBSTITUTE(J4,",",""))+1)</x:f>
        <x:v>6</x:v>
      </x:c>
      <x:c r="AI4" s="493" t="str">
        <x:v>Per Team</x:v>
      </x:c>
    </x:row>
    <x:row r="5">
      <x:c r="A5">
        <x:v>4</x:v>
      </x:c>
      <x:c r="B5" t="s">
        <x:v>43</x:v>
      </x:c>
      <x:c r="C5" t="s">
        <x:v>44</x:v>
      </x:c>
      <x:c r="D5" s="3">
        <x:v>42675</x:v>
      </x:c>
      <x:c r="E5">
        <x:v>3</x:v>
      </x:c>
      <x:c r="F5" t="s">
        <x:v>19</x:v>
      </x:c>
      <x:c r="G5" t="str">
        <x:v>1st Place — Best Use of IBM Bluemix — US$100,000 IBM Bluemix Credits — SmartWatch</x:v>
      </x:c>
      <x:c r="H5" t="s">
        <x:v>45</x:v>
      </x:c>
      <x:c r="I5" t="s">
        <x:v>46</x:v>
      </x:c>
      <x:c r="J5" t="s">
        <x:v>47</x:v>
      </x:c>
      <x:c r="K5" t="s">
        <x:v>48</x:v>
      </x:c>
      <x:c r="L5" t="s">
        <x:v>49</x:v>
      </x:c>
      <x:c r="M5" t="s">
        <x:v>25</x:v>
      </x:c>
      <x:c r="N5" t="s">
        <x:v>50</x:v>
      </x:c>
      <x:c r="O5" t="s">
        <x:v>24</x:v>
      </x:c>
      <x:c r="P5" t="s">
        <x:v>24</x:v>
      </x:c>
      <x:c r="Q5" s="36" t="str">
        <x:v>1st Place</x:v>
      </x:c>
      <x:c r="R5" s="36" t="str">
        <x:v>Best Use of IBM Bluemix</x:v>
      </x:c>
      <x:c r="S5" s="37"/>
      <x:c r="T5" s="38"/>
      <x:c r="U5" s="37" t="n">
        <x:v>100000</x:v>
      </x:c>
      <x:c r="V5" s="38" t="str">
        <x:v>USD</x:v>
      </x:c>
      <x:c r="W5" s="38"/>
      <x:c r="X5" s="37"/>
      <x:c r="Y5" s="38"/>
      <x:c r="Z5" s="36" t="str">
        <x:v>IBM Bluemix credits; SmartWatch</x:v>
      </x:c>
      <x:c r="AA5" s="36" t="str">
        <x:v>SmartWatch</x:v>
      </x:c>
      <x:c r="AB5" s="39" t="n">
        <x:v>0</x:v>
      </x:c>
      <x:c r="AC5" s="40"/>
      <x:c r="AD5" s="36"/>
      <x:c r="AE5" s="38" t="str">
        <x:v>Exclude</x:v>
      </x:c>
      <x:c r="AF5" s="38" t="str">
        <x:v>US$100,000 IBM Bluemix credit value</x:v>
      </x:c>
      <x:c r="AG5" s="198" t="str">
        <x:f>G5</x:f>
        <x:v>1st Place — Best Use of IBM Bluemix — US$100,000 IBM Bluemix Credits — SmartWatch</x:v>
      </x:c>
      <x:c r="AH5" s="214" t="n">
        <x:f>IF(OR(J5="",J5="-"),"",LEN(J5)-LEN(SUBSTITUTE(J5,",",""))+1)</x:f>
        <x:v>4</x:v>
      </x:c>
      <x:c r="AI5" s="493" t="str">
        <x:v>Per Team</x:v>
      </x:c>
    </x:row>
    <x:row r="6">
      <x:c r="A6">
        <x:v>5</x:v>
      </x:c>
      <x:c r="B6" t="s">
        <x:v>51</x:v>
      </x:c>
      <x:c r="C6" t="s">
        <x:v>52</x:v>
      </x:c>
      <x:c r="D6" s="3">
        <x:v>42767</x:v>
      </x:c>
      <x:c r="E6">
        <x:v>2</x:v>
      </x:c>
      <x:c r="F6" t="s">
        <x:v>19</x:v>
      </x:c>
      <x:c r="G6" t="str">
        <x:v>-</x:v>
      </x:c>
      <x:c r="H6" t="s">
        <x:v>20</x:v>
      </x:c>
      <x:c r="I6" t="s">
        <x:v>53</x:v>
      </x:c>
      <x:c r="J6" t="s">
        <x:v>54</x:v>
      </x:c>
      <x:c r="K6" t="s">
        <x:v>55</x:v>
      </x:c>
      <x:c r="L6" t="s">
        <x:v>42</x:v>
      </x:c>
      <x:c r="M6" t="s">
        <x:v>25</x:v>
      </x:c>
      <x:c r="N6" t="s">
        <x:v>42</x:v>
      </x:c>
      <x:c r="O6" t="s">
        <x:v>24</x:v>
      </x:c>
      <x:c r="P6" t="s">
        <x:v>24</x:v>
      </x:c>
      <x:c r="Q6" s="36"/>
      <x:c r="R6" s="36"/>
      <x:c r="S6" s="37"/>
      <x:c r="T6" s="38"/>
      <x:c r="U6" s="37"/>
      <x:c r="V6" s="38"/>
      <x:c r="W6" s="38"/>
      <x:c r="X6" s="37"/>
      <x:c r="Y6" s="38"/>
      <x:c r="Z6" s="36"/>
      <x:c r="AA6" s="36"/>
      <x:c r="AB6" s="39"/>
      <x:c r="AC6" s="40"/>
      <x:c r="AD6" s="36"/>
      <x:c r="AE6" s="38"/>
      <x:c r="AF6" s="38"/>
      <x:c r="AG6" s="198"/>
      <x:c r="AH6" s="214" t="n">
        <x:f>IF(OR(J6="",J6="-"),"",LEN(J6)-LEN(SUBSTITUTE(J6,",",""))+1)</x:f>
        <x:v>4</x:v>
      </x:c>
      <x:c r="AI6" s="493"/>
    </x:row>
    <x:row r="7">
      <x:c r="A7">
        <x:v>6</x:v>
      </x:c>
      <x:c r="B7" t="s">
        <x:v>56</x:v>
      </x:c>
      <x:c r="C7" t="s">
        <x:v>57</x:v>
      </x:c>
      <x:c r="D7" s="2" t="s">
        <x:v>58</x:v>
      </x:c>
      <x:c r="E7">
        <x:v>3</x:v>
      </x:c>
      <x:c r="F7" t="s">
        <x:v>59</x:v>
      </x:c>
      <x:c r="G7" t="str">
        <x:v>-</x:v>
      </x:c>
      <x:c r="H7" t="s">
        <x:v>45</x:v>
      </x:c>
      <x:c r="I7" t="s">
        <x:v>46</x:v>
      </x:c>
      <x:c r="J7" t="s">
        <x:v>60</x:v>
      </x:c>
      <x:c r="K7" t="s">
        <x:v>48</x:v>
      </x:c>
      <x:c r="L7" t="s">
        <x:v>49</x:v>
      </x:c>
      <x:c r="M7" t="s">
        <x:v>25</x:v>
      </x:c>
      <x:c r="N7" t="s">
        <x:v>61</x:v>
      </x:c>
      <x:c r="O7" t="s">
        <x:v>24</x:v>
      </x:c>
      <x:c r="P7" t="s">
        <x:v>24</x:v>
      </x:c>
      <x:c r="Q7" s="36"/>
      <x:c r="R7" s="36"/>
      <x:c r="S7" s="37"/>
      <x:c r="T7" s="38"/>
      <x:c r="U7" s="37"/>
      <x:c r="V7" s="38"/>
      <x:c r="W7" s="38"/>
      <x:c r="X7" s="37"/>
      <x:c r="Y7" s="38"/>
      <x:c r="Z7" s="36"/>
      <x:c r="AA7" s="36"/>
      <x:c r="AB7" s="39"/>
      <x:c r="AC7" s="40"/>
      <x:c r="AD7" s="36"/>
      <x:c r="AE7" s="38"/>
      <x:c r="AF7" s="38"/>
      <x:c r="AG7" s="198"/>
      <x:c r="AH7" s="214" t="n">
        <x:f>IF(OR(J7="",J7="-"),"",LEN(J7)-LEN(SUBSTITUTE(J7,",",""))+1)</x:f>
        <x:v>5</x:v>
      </x:c>
      <x:c r="AI7" s="493"/>
    </x:row>
    <x:row r="8">
      <x:c r="A8">
        <x:v>7</x:v>
      </x:c>
      <x:c r="B8" t="s">
        <x:v>62</x:v>
      </x:c>
      <x:c r="C8" t="s">
        <x:v>63</x:v>
      </x:c>
      <x:c r="D8" s="3">
        <x:v>42826</x:v>
      </x:c>
      <x:c r="E8">
        <x:v>2</x:v>
      </x:c>
      <x:c r="F8" t="s">
        <x:v>19</x:v>
      </x:c>
      <x:c r="G8" t="str">
        <x:v>-</x:v>
      </x:c>
      <x:c r="H8" t="s">
        <x:v>64</x:v>
      </x:c>
      <x:c r="I8" t="s">
        <x:v>65</x:v>
      </x:c>
      <x:c r="J8" t="s">
        <x:v>66</x:v>
      </x:c>
      <x:c r="K8" t="s">
        <x:v>67</x:v>
      </x:c>
      <x:c r="L8" t="s">
        <x:v>24</x:v>
      </x:c>
      <x:c r="M8" t="s">
        <x:v>25</x:v>
      </x:c>
      <x:c r="N8" t="s">
        <x:v>68</x:v>
      </x:c>
      <x:c r="O8" t="s">
        <x:v>24</x:v>
      </x:c>
      <x:c r="P8" t="s">
        <x:v>24</x:v>
      </x:c>
      <x:c r="Q8" s="36"/>
      <x:c r="R8" s="36"/>
      <x:c r="S8" s="37"/>
      <x:c r="T8" s="38"/>
      <x:c r="U8" s="37"/>
      <x:c r="V8" s="38"/>
      <x:c r="W8" s="38"/>
      <x:c r="X8" s="37"/>
      <x:c r="Y8" s="38"/>
      <x:c r="Z8" s="36"/>
      <x:c r="AA8" s="36"/>
      <x:c r="AB8" s="39"/>
      <x:c r="AC8" s="40"/>
      <x:c r="AD8" s="36"/>
      <x:c r="AE8" s="38"/>
      <x:c r="AF8" s="38"/>
      <x:c r="AG8" s="198"/>
      <x:c r="AH8" s="214" t="n">
        <x:f>IF(OR(J8="",J8="-"),"",LEN(J8)-LEN(SUBSTITUTE(J8,",",""))+1)</x:f>
        <x:v>4</x:v>
      </x:c>
      <x:c r="AI8" s="493"/>
    </x:row>
    <x:row r="9">
      <x:c r="A9">
        <x:v>8</x:v>
      </x:c>
      <x:c r="B9" t="s">
        <x:v>69</x:v>
      </x:c>
      <x:c r="C9" t="s">
        <x:v>42</x:v>
      </x:c>
      <x:c r="D9" s="3">
        <x:v>42856</x:v>
      </x:c>
      <x:c r="E9">
        <x:v>2</x:v>
      </x:c>
      <x:c r="F9" t="s">
        <x:v>19</x:v>
      </x:c>
      <x:c r="G9" t="str">
        <x:v>-</x:v>
      </x:c>
      <x:c r="H9" t="s">
        <x:v>70</x:v>
      </x:c>
      <x:c r="I9" t="s">
        <x:v>71</x:v>
      </x:c>
      <x:c r="J9" t="s">
        <x:v>72</x:v>
      </x:c>
      <x:c r="K9" t="s">
        <x:v>73</x:v>
      </x:c>
      <x:c r="L9" t="s">
        <x:v>24</x:v>
      </x:c>
      <x:c r="M9" t="s">
        <x:v>25</x:v>
      </x:c>
      <x:c r="N9" t="s">
        <x:v>42</x:v>
      </x:c>
      <x:c r="O9" t="s">
        <x:v>24</x:v>
      </x:c>
      <x:c r="P9" t="s">
        <x:v>24</x:v>
      </x:c>
      <x:c r="Q9" s="36"/>
      <x:c r="R9" s="36"/>
      <x:c r="S9" s="37"/>
      <x:c r="T9" s="38"/>
      <x:c r="U9" s="37"/>
      <x:c r="V9" s="38"/>
      <x:c r="W9" s="38"/>
      <x:c r="X9" s="37"/>
      <x:c r="Y9" s="38"/>
      <x:c r="Z9" s="36"/>
      <x:c r="AA9" s="36"/>
      <x:c r="AB9" s="39"/>
      <x:c r="AC9" s="40"/>
      <x:c r="AD9" s="36"/>
      <x:c r="AE9" s="38"/>
      <x:c r="AF9" s="38"/>
      <x:c r="AG9" s="198"/>
      <x:c r="AH9" s="214" t="n">
        <x:f>IF(OR(J9="",J9="-"),"",LEN(J9)-LEN(SUBSTITUTE(J9,",",""))+1)</x:f>
        <x:v>3</x:v>
      </x:c>
      <x:c r="AI9" s="493"/>
    </x:row>
    <x:row r="10">
      <x:c r="A10">
        <x:v>9</x:v>
      </x:c>
      <x:c r="B10" t="s">
        <x:v>74</x:v>
      </x:c>
      <x:c r="C10" t="s">
        <x:v>75</x:v>
      </x:c>
      <x:c r="D10" s="3">
        <x:v>42856</x:v>
      </x:c>
      <x:c r="E10">
        <x:v>2</x:v>
      </x:c>
      <x:c r="F10" t="s">
        <x:v>19</x:v>
      </x:c>
      <x:c r="G10" t="str">
        <x:v>-</x:v>
      </x:c>
      <x:c r="H10" t="s">
        <x:v>70</x:v>
      </x:c>
      <x:c r="I10" t="s">
        <x:v>76</x:v>
      </x:c>
      <x:c r="J10" t="s">
        <x:v>77</x:v>
      </x:c>
      <x:c r="K10" t="s">
        <x:v>78</x:v>
      </x:c>
      <x:c r="L10" t="s">
        <x:v>24</x:v>
      </x:c>
      <x:c r="M10" t="s">
        <x:v>25</x:v>
      </x:c>
      <x:c r="N10" t="s">
        <x:v>79</x:v>
      </x:c>
      <x:c r="O10" t="s">
        <x:v>24</x:v>
      </x:c>
      <x:c r="P10" t="s">
        <x:v>24</x:v>
      </x:c>
      <x:c r="Q10" s="36"/>
      <x:c r="R10" s="36"/>
      <x:c r="S10" s="37"/>
      <x:c r="T10" s="38"/>
      <x:c r="U10" s="37"/>
      <x:c r="V10" s="38"/>
      <x:c r="W10" s="38"/>
      <x:c r="X10" s="37"/>
      <x:c r="Y10" s="38"/>
      <x:c r="Z10" s="36"/>
      <x:c r="AA10" s="36"/>
      <x:c r="AB10" s="39"/>
      <x:c r="AC10" s="40"/>
      <x:c r="AD10" s="36"/>
      <x:c r="AE10" s="38"/>
      <x:c r="AF10" s="38"/>
      <x:c r="AG10" s="198"/>
      <x:c r="AH10" s="214" t="n">
        <x:f>IF(OR(J10="",J10="-"),"",LEN(J10)-LEN(SUBSTITUTE(J10,",",""))+1)</x:f>
        <x:v>4</x:v>
      </x:c>
      <x:c r="AI10" s="493"/>
    </x:row>
    <x:row r="11">
      <x:c r="A11">
        <x:v>10</x:v>
      </x:c>
      <x:c r="B11" t="s">
        <x:v>80</x:v>
      </x:c>
      <x:c r="C11" t="s">
        <x:v>81</x:v>
      </x:c>
      <x:c r="D11" s="3">
        <x:v>42979</x:v>
      </x:c>
      <x:c r="E11">
        <x:v>2</x:v>
      </x:c>
      <x:c r="F11" t="s">
        <x:v>19</x:v>
      </x:c>
      <x:c r="G11" t="str">
        <x:v>Best Project</x:v>
      </x:c>
      <x:c r="H11" t="s">
        <x:v>82</x:v>
      </x:c>
      <x:c r="I11" t="s">
        <x:v>83</x:v>
      </x:c>
      <x:c r="J11" t="s">
        <x:v>84</x:v>
      </x:c>
      <x:c r="K11" t="s">
        <x:v>85</x:v>
      </x:c>
      <x:c r="L11" t="s">
        <x:v>86</x:v>
      </x:c>
      <x:c r="M11" t="s">
        <x:v>25</x:v>
      </x:c>
      <x:c r="N11" t="s">
        <x:v>87</x:v>
      </x:c>
      <x:c r="O11" t="s">
        <x:v>24</x:v>
      </x:c>
      <x:c r="P11" t="s">
        <x:v>24</x:v>
      </x:c>
      <x:c r="Q11" s="36" t="str">
        <x:v>Best Project</x:v>
      </x:c>
      <x:c r="R11" s="36" t="str">
        <x:v>Rated best project</x:v>
      </x:c>
      <x:c r="S11" s="37"/>
      <x:c r="T11" s="38"/>
      <x:c r="U11" s="37"/>
      <x:c r="V11" s="38"/>
      <x:c r="W11" s="38"/>
      <x:c r="X11" s="37"/>
      <x:c r="Y11" s="38"/>
      <x:c r="Z11" s="36"/>
      <x:c r="AA11" s="36"/>
      <x:c r="AB11" s="39"/>
      <x:c r="AC11" s="40"/>
      <x:c r="AD11" s="36"/>
      <x:c r="AE11" s="38" t="str">
        <x:v>Exclude</x:v>
      </x:c>
      <x:c r="AF11" s="38" t="str">
        <x:v>Recognition only</x:v>
      </x:c>
      <x:c r="AG11" s="198" t="str">
        <x:f>G11</x:f>
        <x:v>Best Project</x:v>
      </x:c>
      <x:c r="AH11" s="214" t="n">
        <x:f>IF(OR(J11="",J11="-"),"",LEN(J11)-LEN(SUBSTITUTE(J11,",",""))+1)</x:f>
        <x:v>3</x:v>
      </x:c>
      <x:c r="AI11" s="493" t="str">
        <x:v>Per Team</x:v>
      </x:c>
    </x:row>
    <x:row r="12">
      <x:c r="A12">
        <x:v>11</x:v>
      </x:c>
      <x:c r="B12" t="s">
        <x:v>88</x:v>
      </x:c>
      <x:c r="C12" t="s">
        <x:v>89</x:v>
      </x:c>
      <x:c r="D12" s="3">
        <x:v>43009</x:v>
      </x:c>
      <x:c r="E12">
        <x:v>2</x:v>
      </x:c>
      <x:c r="F12" t="s">
        <x:v>19</x:v>
      </x:c>
      <x:c r="G12" t="str">
        <x:v>-</x:v>
      </x:c>
      <x:c r="H12" t="s">
        <x:v>90</x:v>
      </x:c>
      <x:c r="I12" t="s">
        <x:v>91</x:v>
      </x:c>
      <x:c r="J12" t="s">
        <x:v>92</x:v>
      </x:c>
      <x:c r="K12" t="s">
        <x:v>93</x:v>
      </x:c>
      <x:c r="L12" t="s">
        <x:v>24</x:v>
      </x:c>
      <x:c r="M12" t="s">
        <x:v>25</x:v>
      </x:c>
      <x:c r="N12" t="s">
        <x:v>89</x:v>
      </x:c>
      <x:c r="O12" t="s">
        <x:v>24</x:v>
      </x:c>
      <x:c r="P12" t="s">
        <x:v>24</x:v>
      </x:c>
      <x:c r="Q12" s="36"/>
      <x:c r="R12" s="36"/>
      <x:c r="S12" s="37"/>
      <x:c r="T12" s="38"/>
      <x:c r="U12" s="37"/>
      <x:c r="V12" s="38"/>
      <x:c r="W12" s="38"/>
      <x:c r="X12" s="37"/>
      <x:c r="Y12" s="38"/>
      <x:c r="Z12" s="36"/>
      <x:c r="AA12" s="36"/>
      <x:c r="AB12" s="39"/>
      <x:c r="AC12" s="40"/>
      <x:c r="AD12" s="36"/>
      <x:c r="AE12" s="38"/>
      <x:c r="AF12" s="38"/>
      <x:c r="AG12" s="198"/>
      <x:c r="AH12" s="214" t="n">
        <x:f>IF(OR(J12="",J12="-"),"",LEN(J12)-LEN(SUBSTITUTE(J12,",",""))+1)</x:f>
        <x:v>4</x:v>
      </x:c>
      <x:c r="AI12" s="493"/>
    </x:row>
    <x:row r="13">
      <x:c r="A13">
        <x:v>12</x:v>
      </x:c>
      <x:c r="B13" t="s">
        <x:v>94</x:v>
      </x:c>
      <x:c r="C13" t="s">
        <x:v>95</x:v>
      </x:c>
      <x:c r="D13" s="3">
        <x:v>43009</x:v>
      </x:c>
      <x:c r="E13">
        <x:v>2</x:v>
      </x:c>
      <x:c r="F13" t="s">
        <x:v>19</x:v>
      </x:c>
      <x:c r="G13" t="str">
        <x:v>-</x:v>
      </x:c>
      <x:c r="H13" t="s">
        <x:v>90</x:v>
      </x:c>
      <x:c r="I13" t="s">
        <x:v>96</x:v>
      </x:c>
      <x:c r="J13" t="s">
        <x:v>97</x:v>
      </x:c>
      <x:c r="K13" t="s">
        <x:v>98</x:v>
      </x:c>
      <x:c r="L13" t="s">
        <x:v>99</x:v>
      </x:c>
      <x:c r="M13" t="s">
        <x:v>25</x:v>
      </x:c>
      <x:c r="N13" t="s">
        <x:v>95</x:v>
      </x:c>
      <x:c r="O13" t="s">
        <x:v>24</x:v>
      </x:c>
      <x:c r="P13" t="s">
        <x:v>24</x:v>
      </x:c>
      <x:c r="Q13" s="36"/>
      <x:c r="R13" s="36"/>
      <x:c r="S13" s="37"/>
      <x:c r="T13" s="38"/>
      <x:c r="U13" s="37"/>
      <x:c r="V13" s="38"/>
      <x:c r="W13" s="38"/>
      <x:c r="X13" s="37"/>
      <x:c r="Y13" s="38"/>
      <x:c r="Z13" s="36"/>
      <x:c r="AA13" s="36"/>
      <x:c r="AB13" s="39"/>
      <x:c r="AC13" s="40"/>
      <x:c r="AD13" s="36"/>
      <x:c r="AE13" s="38"/>
      <x:c r="AF13" s="38"/>
      <x:c r="AG13" s="198"/>
      <x:c r="AH13" s="214" t="n">
        <x:f>IF(OR(J13="",J13="-"),"",LEN(J13)-LEN(SUBSTITUTE(J13,",",""))+1)</x:f>
        <x:v>4</x:v>
      </x:c>
      <x:c r="AI13" s="493"/>
    </x:row>
    <x:row r="14">
      <x:c r="A14">
        <x:v>13</x:v>
      </x:c>
      <x:c r="B14" t="s">
        <x:v>100</x:v>
      </x:c>
      <x:c r="C14" t="s">
        <x:v>42</x:v>
      </x:c>
      <x:c r="D14" s="3">
        <x:v>43101</x:v>
      </x:c>
      <x:c r="E14">
        <x:v>2</x:v>
      </x:c>
      <x:c r="F14" t="s">
        <x:v>19</x:v>
      </x:c>
      <x:c r="G14" t="str">
        <x:v>-</x:v>
      </x:c>
      <x:c r="H14" t="s">
        <x:v>101</x:v>
      </x:c>
      <x:c r="I14" t="s">
        <x:v>102</x:v>
      </x:c>
      <x:c r="J14" t="s">
        <x:v>103</x:v>
      </x:c>
      <x:c r="K14" t="s">
        <x:v>104</x:v>
      </x:c>
      <x:c r="L14" t="s">
        <x:v>24</x:v>
      </x:c>
      <x:c r="M14" t="s">
        <x:v>25</x:v>
      </x:c>
      <x:c r="N14" t="s">
        <x:v>42</x:v>
      </x:c>
      <x:c r="O14" t="s">
        <x:v>24</x:v>
      </x:c>
      <x:c r="P14" t="s">
        <x:v>24</x:v>
      </x:c>
      <x:c r="Q14" s="36"/>
      <x:c r="R14" s="36"/>
      <x:c r="S14" s="37"/>
      <x:c r="T14" s="38"/>
      <x:c r="U14" s="37"/>
      <x:c r="V14" s="38"/>
      <x:c r="W14" s="38"/>
      <x:c r="X14" s="37"/>
      <x:c r="Y14" s="38"/>
      <x:c r="Z14" s="36"/>
      <x:c r="AA14" s="36"/>
      <x:c r="AB14" s="39"/>
      <x:c r="AC14" s="40"/>
      <x:c r="AD14" s="36"/>
      <x:c r="AE14" s="38"/>
      <x:c r="AF14" s="38"/>
      <x:c r="AG14" s="198"/>
      <x:c r="AH14" s="214" t="n">
        <x:f>IF(OR(J14="",J14="-"),"",LEN(J14)-LEN(SUBSTITUTE(J14,",",""))+1)</x:f>
        <x:v>2</x:v>
      </x:c>
      <x:c r="AI14" s="493"/>
    </x:row>
    <x:row r="15">
      <x:c r="A15">
        <x:v>14</x:v>
      </x:c>
      <x:c r="B15" t="s">
        <x:v>105</x:v>
      </x:c>
      <x:c r="C15" t="s">
        <x:v>106</x:v>
      </x:c>
      <x:c r="D15" s="3">
        <x:v>43160</x:v>
      </x:c>
      <x:c r="E15">
        <x:v>1</x:v>
      </x:c>
      <x:c r="F15" t="s">
        <x:v>19</x:v>
      </x:c>
      <x:c r="G15" t="str">
        <x:v>3rd Place — S$100 Capitaland Voucher Each</x:v>
      </x:c>
      <x:c r="H15" t="s">
        <x:v>107</x:v>
      </x:c>
      <x:c r="I15" t="s">
        <x:v>108</x:v>
      </x:c>
      <x:c r="J15" t="s">
        <x:v>109</x:v>
      </x:c>
      <x:c r="K15" t="s">
        <x:v>110</x:v>
      </x:c>
      <x:c r="L15" t="s">
        <x:v>24</x:v>
      </x:c>
      <x:c r="M15" t="s">
        <x:v>25</x:v>
      </x:c>
      <x:c r="N15" t="s">
        <x:v>106</x:v>
      </x:c>
      <x:c r="O15" t="s">
        <x:v>24</x:v>
      </x:c>
      <x:c r="P15" t="s">
        <x:v>24</x:v>
      </x:c>
      <x:c r="Q15" s="36" t="str">
        <x:v>3rd Place</x:v>
      </x:c>
      <x:c r="R15" s="36"/>
      <x:c r="S15" s="37" t="n">
        <x:v>100</x:v>
      </x:c>
      <x:c r="T15" s="38" t="str">
        <x:v>SGD</x:v>
      </x:c>
      <x:c r="U15" s="37"/>
      <x:c r="V15" s="38"/>
      <x:c r="W15" s="38"/>
      <x:c r="X15" s="37"/>
      <x:c r="Y15" s="38"/>
      <x:c r="Z15" s="36" t="str">
        <x:v>S$100 Capitaland voucher</x:v>
      </x:c>
      <x:c r="AA15" s="36"/>
      <x:c r="AB15" s="39"/>
      <x:c r="AC15" s="40"/>
      <x:c r="AD15" s="36"/>
      <x:c r="AE15" s="38" t="str">
        <x:v>Yes</x:v>
      </x:c>
      <x:c r="AF15" s="38" t="str">
        <x:v>Voucher counted as cash equivalent</x:v>
      </x:c>
      <x:c r="AG15" s="198" t="str">
        <x:f>G15</x:f>
        <x:v>3rd Place — S$100 Capitaland Voucher Each</x:v>
      </x:c>
      <x:c r="AH15" s="214" t="n">
        <x:f>IF(OR(J15="",J15="-"),"",LEN(J15)-LEN(SUBSTITUTE(J15,",",""))+1)</x:f>
        <x:v>2</x:v>
      </x:c>
      <x:c r="AI15" s="493" t="str">
        <x:v>Per Team Member</x:v>
      </x:c>
    </x:row>
    <x:row r="16">
      <x:c r="A16">
        <x:v>15</x:v>
      </x:c>
      <x:c r="B16" t="s">
        <x:v>111</x:v>
      </x:c>
      <x:c r="C16" t="s">
        <x:v>112</x:v>
      </x:c>
      <x:c r="D16" s="3">
        <x:v>43160</x:v>
      </x:c>
      <x:c r="E16">
        <x:v>2</x:v>
      </x:c>
      <x:c r="F16" t="s">
        <x:v>19</x:v>
      </x:c>
      <x:c r="G16" t="str">
        <x:v>-</x:v>
      </x:c>
      <x:c r="H16" t="s">
        <x:v>113</x:v>
      </x:c>
      <x:c r="I16" t="s">
        <x:v>114</x:v>
      </x:c>
      <x:c r="J16" t="s">
        <x:v>115</x:v>
      </x:c>
      <x:c r="K16" t="s">
        <x:v>116</x:v>
      </x:c>
      <x:c r="L16" t="s">
        <x:v>112</x:v>
      </x:c>
      <x:c r="M16" t="s">
        <x:v>25</x:v>
      </x:c>
      <x:c r="N16" t="s">
        <x:v>34</x:v>
      </x:c>
      <x:c r="O16" t="s">
        <x:v>24</x:v>
      </x:c>
      <x:c r="P16" t="s">
        <x:v>24</x:v>
      </x:c>
      <x:c r="Q16" s="36"/>
      <x:c r="R16" s="36"/>
      <x:c r="S16" s="37"/>
      <x:c r="T16" s="38"/>
      <x:c r="U16" s="37"/>
      <x:c r="V16" s="38"/>
      <x:c r="W16" s="38"/>
      <x:c r="X16" s="37"/>
      <x:c r="Y16" s="38"/>
      <x:c r="Z16" s="36"/>
      <x:c r="AA16" s="36"/>
      <x:c r="AB16" s="39"/>
      <x:c r="AC16" s="40"/>
      <x:c r="AD16" s="36"/>
      <x:c r="AE16" s="38"/>
      <x:c r="AF16" s="38"/>
      <x:c r="AG16" s="198"/>
      <x:c r="AH16" s="214" t="n">
        <x:f>IF(OR(J16="",J16="-"),"",LEN(J16)-LEN(SUBSTITUTE(J16,",",""))+1)</x:f>
        <x:v>3</x:v>
      </x:c>
      <x:c r="AI16" s="493"/>
    </x:row>
    <x:row r="17">
      <x:c r="A17">
        <x:v>16</x:v>
      </x:c>
      <x:c r="B17" t="s">
        <x:v>117</x:v>
      </x:c>
      <x:c r="C17" t="s">
        <x:v>118</x:v>
      </x:c>
      <x:c r="D17" s="3">
        <x:v>43191</x:v>
      </x:c>
      <x:c r="E17">
        <x:v>2</x:v>
      </x:c>
      <x:c r="F17" t="s">
        <x:v>19</x:v>
      </x:c>
      <x:c r="G17" t="str">
        <x:v>-</x:v>
      </x:c>
      <x:c r="H17" t="s">
        <x:v>119</x:v>
      </x:c>
      <x:c r="I17" t="s">
        <x:v>120</x:v>
      </x:c>
      <x:c r="J17" t="s">
        <x:v>121</x:v>
      </x:c>
      <x:c r="K17" t="s">
        <x:v>122</x:v>
      </x:c>
      <x:c r="L17" t="s">
        <x:v>24</x:v>
      </x:c>
      <x:c r="M17" t="s">
        <x:v>25</x:v>
      </x:c>
      <x:c r="N17" t="s">
        <x:v>123</x:v>
      </x:c>
      <x:c r="O17" t="s">
        <x:v>24</x:v>
      </x:c>
      <x:c r="P17" t="s">
        <x:v>24</x:v>
      </x:c>
      <x:c r="Q17" s="36"/>
      <x:c r="R17" s="36"/>
      <x:c r="S17" s="37"/>
      <x:c r="T17" s="38"/>
      <x:c r="U17" s="37"/>
      <x:c r="V17" s="38"/>
      <x:c r="W17" s="38"/>
      <x:c r="X17" s="37"/>
      <x:c r="Y17" s="38"/>
      <x:c r="Z17" s="36"/>
      <x:c r="AA17" s="36"/>
      <x:c r="AB17" s="39"/>
      <x:c r="AC17" s="40"/>
      <x:c r="AD17" s="36"/>
      <x:c r="AE17" s="38"/>
      <x:c r="AF17" s="38"/>
      <x:c r="AG17" s="198"/>
      <x:c r="AH17" s="214" t="n">
        <x:f>IF(OR(J17="",J17="-"),"",LEN(J17)-LEN(SUBSTITUTE(J17,",",""))+1)</x:f>
        <x:v>2</x:v>
      </x:c>
      <x:c r="AI17" s="493"/>
    </x:row>
    <x:row r="18">
      <x:c r="A18">
        <x:v>17</x:v>
      </x:c>
      <x:c r="B18" t="s">
        <x:v>124</x:v>
      </x:c>
      <x:c r="C18" t="s">
        <x:v>125</x:v>
      </x:c>
      <x:c r="D18" s="3">
        <x:v>43252</x:v>
      </x:c>
      <x:c r="E18">
        <x:v>2</x:v>
      </x:c>
      <x:c r="F18" t="s">
        <x:v>19</x:v>
      </x:c>
      <x:c r="G18" t="str">
        <x:v>2nd Place — S$600 Cash</x:v>
      </x:c>
      <x:c r="H18" t="s">
        <x:v>126</x:v>
      </x:c>
      <x:c r="I18" t="s">
        <x:v>127</x:v>
      </x:c>
      <x:c r="J18" t="s">
        <x:v>128</x:v>
      </x:c>
      <x:c r="K18" t="s">
        <x:v>129</x:v>
      </x:c>
      <x:c r="L18" t="s">
        <x:v>24</x:v>
      </x:c>
      <x:c r="M18" t="s">
        <x:v>25</x:v>
      </x:c>
      <x:c r="N18" t="s">
        <x:v>130</x:v>
      </x:c>
      <x:c r="O18" t="s">
        <x:v>24</x:v>
      </x:c>
      <x:c r="P18" t="s">
        <x:v>24</x:v>
      </x:c>
      <x:c r="Q18" s="36" t="str">
        <x:v>2nd Place</x:v>
      </x:c>
      <x:c r="R18" s="36"/>
      <x:c r="S18" s="37" t="n">
        <x:v>600</x:v>
      </x:c>
      <x:c r="T18" s="38" t="str">
        <x:v>SGD</x:v>
      </x:c>
      <x:c r="U18" s="37"/>
      <x:c r="V18" s="38"/>
      <x:c r="W18" s="38"/>
      <x:c r="X18" s="37"/>
      <x:c r="Y18" s="38"/>
      <x:c r="Z18" s="36"/>
      <x:c r="AA18" s="36"/>
      <x:c r="AB18" s="39"/>
      <x:c r="AC18" s="40"/>
      <x:c r="AD18" s="36"/>
      <x:c r="AE18" s="38" t="str">
        <x:v>Yes</x:v>
      </x:c>
      <x:c r="AF18" s="38" t="str">
        <x:v>Explicit cash</x:v>
      </x:c>
      <x:c r="AG18" s="198" t="str">
        <x:f>G18</x:f>
        <x:v>2nd Place — S$600 Cash</x:v>
      </x:c>
      <x:c r="AH18" s="214" t="n">
        <x:f>IF(OR(J18="",J18="-"),"",LEN(J18)-LEN(SUBSTITUTE(J18,",",""))+1)</x:f>
        <x:v>3</x:v>
      </x:c>
      <x:c r="AI18" s="493" t="str">
        <x:v>Per Team</x:v>
      </x:c>
    </x:row>
    <x:row r="19">
      <x:c r="A19">
        <x:v>18</x:v>
      </x:c>
      <x:c r="B19" t="s">
        <x:v>131</x:v>
      </x:c>
      <x:c r="C19" t="s">
        <x:v>132</x:v>
      </x:c>
      <x:c r="D19" s="2" t="s">
        <x:v>133</x:v>
      </x:c>
      <x:c r="E19">
        <x:v>2</x:v>
      </x:c>
      <x:c r="F19" t="s">
        <x:v>19</x:v>
      </x:c>
      <x:c r="G19" t="str">
        <x:v>-</x:v>
      </x:c>
      <x:c r="H19" t="s">
        <x:v>134</x:v>
      </x:c>
      <x:c r="I19" t="s">
        <x:v>135</x:v>
      </x:c>
      <x:c r="J19" t="s">
        <x:v>136</x:v>
      </x:c>
      <x:c r="K19" t="s">
        <x:v>137</x:v>
      </x:c>
      <x:c r="L19" t="s">
        <x:v>24</x:v>
      </x:c>
      <x:c r="M19" t="s">
        <x:v>25</x:v>
      </x:c>
      <x:c r="N19" t="s">
        <x:v>138</x:v>
      </x:c>
      <x:c r="O19" t="s">
        <x:v>24</x:v>
      </x:c>
      <x:c r="P19" t="s">
        <x:v>24</x:v>
      </x:c>
      <x:c r="Q19" s="36"/>
      <x:c r="R19" s="36"/>
      <x:c r="S19" s="37"/>
      <x:c r="T19" s="38"/>
      <x:c r="U19" s="37"/>
      <x:c r="V19" s="38"/>
      <x:c r="W19" s="38"/>
      <x:c r="X19" s="37"/>
      <x:c r="Y19" s="38"/>
      <x:c r="Z19" s="36"/>
      <x:c r="AA19" s="36"/>
      <x:c r="AB19" s="39"/>
      <x:c r="AC19" s="40"/>
      <x:c r="AD19" s="36"/>
      <x:c r="AE19" s="38"/>
      <x:c r="AF19" s="38"/>
      <x:c r="AG19" s="198"/>
      <x:c r="AH19" s="214" t="n">
        <x:f>IF(OR(J19="",J19="-"),"",LEN(J19)-LEN(SUBSTITUTE(J19,",",""))+1)</x:f>
        <x:v>4</x:v>
      </x:c>
      <x:c r="AI19" s="493"/>
    </x:row>
    <x:row r="20">
      <x:c r="A20">
        <x:v>19</x:v>
      </x:c>
      <x:c r="B20" t="s">
        <x:v>139</x:v>
      </x:c>
      <x:c r="C20" t="s">
        <x:v>95</x:v>
      </x:c>
      <x:c r="D20" s="2" t="s">
        <x:v>140</x:v>
      </x:c>
      <x:c r="E20">
        <x:v>2</x:v>
      </x:c>
      <x:c r="F20" t="s">
        <x:v>19</x:v>
      </x:c>
      <x:c r="G20" t="str">
        <x:v>-</x:v>
      </x:c>
      <x:c r="H20" t="s">
        <x:v>141</x:v>
      </x:c>
      <x:c r="I20" t="s">
        <x:v>142</x:v>
      </x:c>
      <x:c r="J20" t="s">
        <x:v>143</x:v>
      </x:c>
      <x:c r="K20" t="s">
        <x:v>144</x:v>
      </x:c>
      <x:c r="L20" t="s">
        <x:v>24</x:v>
      </x:c>
      <x:c r="M20" t="s">
        <x:v>25</x:v>
      </x:c>
      <x:c r="N20" t="s">
        <x:v>145</x:v>
      </x:c>
      <x:c r="O20" t="s">
        <x:v>24</x:v>
      </x:c>
      <x:c r="P20" t="s">
        <x:v>24</x:v>
      </x:c>
      <x:c r="Q20" s="36"/>
      <x:c r="R20" s="36"/>
      <x:c r="S20" s="37"/>
      <x:c r="T20" s="38"/>
      <x:c r="U20" s="37"/>
      <x:c r="V20" s="38"/>
      <x:c r="W20" s="38"/>
      <x:c r="X20" s="37"/>
      <x:c r="Y20" s="38"/>
      <x:c r="Z20" s="36"/>
      <x:c r="AA20" s="36"/>
      <x:c r="AB20" s="39"/>
      <x:c r="AC20" s="40"/>
      <x:c r="AD20" s="36"/>
      <x:c r="AE20" s="38"/>
      <x:c r="AF20" s="38"/>
      <x:c r="AG20" s="198"/>
      <x:c r="AH20" s="214" t="n">
        <x:f>IF(OR(J20="",J20="-"),"",LEN(J20)-LEN(SUBSTITUTE(J20,",",""))+1)</x:f>
        <x:v>4</x:v>
      </x:c>
      <x:c r="AI20" s="493"/>
    </x:row>
    <x:row r="21">
      <x:c r="A21">
        <x:v>20</x:v>
      </x:c>
      <x:c r="B21" t="s">
        <x:v>146</x:v>
      </x:c>
      <x:c r="C21" t="s">
        <x:v>147</x:v>
      </x:c>
      <x:c r="D21" s="2" t="s">
        <x:v>148</x:v>
      </x:c>
      <x:c r="E21">
        <x:v>2</x:v>
      </x:c>
      <x:c r="F21" t="s">
        <x:v>19</x:v>
      </x:c>
      <x:c r="G21" t="str">
        <x:v>-</x:v>
      </x:c>
      <x:c r="H21" t="s">
        <x:v>149</x:v>
      </x:c>
      <x:c r="I21" t="s">
        <x:v>150</x:v>
      </x:c>
      <x:c r="J21" t="s">
        <x:v>151</x:v>
      </x:c>
      <x:c r="K21" t="s">
        <x:v>152</x:v>
      </x:c>
      <x:c r="L21" t="s">
        <x:v>24</x:v>
      </x:c>
      <x:c r="M21" t="s">
        <x:v>25</x:v>
      </x:c>
      <x:c r="N21" t="s">
        <x:v>138</x:v>
      </x:c>
      <x:c r="O21" t="s">
        <x:v>24</x:v>
      </x:c>
      <x:c r="P21" t="s">
        <x:v>24</x:v>
      </x:c>
      <x:c r="Q21" s="36"/>
      <x:c r="R21" s="36"/>
      <x:c r="S21" s="37"/>
      <x:c r="T21" s="38"/>
      <x:c r="U21" s="37"/>
      <x:c r="V21" s="38"/>
      <x:c r="W21" s="38"/>
      <x:c r="X21" s="37"/>
      <x:c r="Y21" s="38"/>
      <x:c r="Z21" s="36"/>
      <x:c r="AA21" s="36"/>
      <x:c r="AB21" s="39"/>
      <x:c r="AC21" s="40"/>
      <x:c r="AD21" s="36"/>
      <x:c r="AE21" s="38"/>
      <x:c r="AF21" s="38"/>
      <x:c r="AG21" s="198"/>
      <x:c r="AH21" s="214" t="n">
        <x:f>IF(OR(J21="",J21="-"),"",LEN(J21)-LEN(SUBSTITUTE(J21,",",""))+1)</x:f>
        <x:v>5</x:v>
      </x:c>
      <x:c r="AI21" s="493"/>
    </x:row>
    <x:row r="22">
      <x:c r="A22">
        <x:v>21</x:v>
      </x:c>
      <x:c r="B22" t="s">
        <x:v>153</x:v>
      </x:c>
      <x:c r="C22" t="s">
        <x:v>106</x:v>
      </x:c>
      <x:c r="D22" s="2" t="s">
        <x:v>154</x:v>
      </x:c>
      <x:c r="E22">
        <x:v>2</x:v>
      </x:c>
      <x:c r="F22" t="s">
        <x:v>19</x:v>
      </x:c>
      <x:c r="G22" t="str">
        <x:v>-</x:v>
      </x:c>
      <x:c r="H22" t="s">
        <x:v>155</x:v>
      </x:c>
      <x:c r="I22" t="s">
        <x:v>156</x:v>
      </x:c>
      <x:c r="J22" t="s">
        <x:v>157</x:v>
      </x:c>
      <x:c r="K22" t="s">
        <x:v>158</x:v>
      </x:c>
      <x:c r="L22" t="s">
        <x:v>24</x:v>
      </x:c>
      <x:c r="M22" t="s">
        <x:v>25</x:v>
      </x:c>
      <x:c r="N22" t="s">
        <x:v>159</x:v>
      </x:c>
      <x:c r="O22" t="s">
        <x:v>24</x:v>
      </x:c>
      <x:c r="P22" t="s">
        <x:v>24</x:v>
      </x:c>
      <x:c r="Q22" s="36"/>
      <x:c r="R22" s="36"/>
      <x:c r="S22" s="37"/>
      <x:c r="T22" s="38"/>
      <x:c r="U22" s="37"/>
      <x:c r="V22" s="38"/>
      <x:c r="W22" s="38"/>
      <x:c r="X22" s="37"/>
      <x:c r="Y22" s="38"/>
      <x:c r="Z22" s="36"/>
      <x:c r="AA22" s="36"/>
      <x:c r="AB22" s="39"/>
      <x:c r="AC22" s="40"/>
      <x:c r="AD22" s="36"/>
      <x:c r="AE22" s="38"/>
      <x:c r="AF22" s="38"/>
      <x:c r="AG22" s="198"/>
      <x:c r="AH22" s="214" t="n">
        <x:f>IF(OR(J22="",J22="-"),"",LEN(J22)-LEN(SUBSTITUTE(J22,",",""))+1)</x:f>
        <x:v>6</x:v>
      </x:c>
      <x:c r="AI22" s="493"/>
    </x:row>
    <x:row r="23">
      <x:c r="A23">
        <x:v>22</x:v>
      </x:c>
      <x:c r="B23" t="s">
        <x:v>160</x:v>
      </x:c>
      <x:c r="C23" t="s">
        <x:v>161</x:v>
      </x:c>
      <x:c r="D23" s="2" t="s">
        <x:v>162</x:v>
      </x:c>
      <x:c r="E23">
        <x:v>2</x:v>
      </x:c>
      <x:c r="F23" t="s">
        <x:v>19</x:v>
      </x:c>
      <x:c r="G23" t="str">
        <x:v>-</x:v>
      </x:c>
      <x:c r="H23" t="s">
        <x:v>163</x:v>
      </x:c>
      <x:c r="I23" t="s">
        <x:v>164</x:v>
      </x:c>
      <x:c r="J23" t="s">
        <x:v>165</x:v>
      </x:c>
      <x:c r="K23" t="s">
        <x:v>166</x:v>
      </x:c>
      <x:c r="L23" t="s">
        <x:v>24</x:v>
      </x:c>
      <x:c r="M23" t="s">
        <x:v>25</x:v>
      </x:c>
      <x:c r="N23" t="s">
        <x:v>167</x:v>
      </x:c>
      <x:c r="O23" t="s">
        <x:v>24</x:v>
      </x:c>
      <x:c r="P23" t="s">
        <x:v>24</x:v>
      </x:c>
      <x:c r="Q23" s="36"/>
      <x:c r="R23" s="36"/>
      <x:c r="S23" s="37"/>
      <x:c r="T23" s="38"/>
      <x:c r="U23" s="37"/>
      <x:c r="V23" s="38"/>
      <x:c r="W23" s="38"/>
      <x:c r="X23" s="37"/>
      <x:c r="Y23" s="38"/>
      <x:c r="Z23" s="36"/>
      <x:c r="AA23" s="36"/>
      <x:c r="AB23" s="39"/>
      <x:c r="AC23" s="40"/>
      <x:c r="AD23" s="36"/>
      <x:c r="AE23" s="38"/>
      <x:c r="AF23" s="38"/>
      <x:c r="AG23" s="198"/>
      <x:c r="AH23" s="214" t="n">
        <x:f>IF(OR(J23="",J23="-"),"",LEN(J23)-LEN(SUBSTITUTE(J23,",",""))+1)</x:f>
        <x:v>1</x:v>
      </x:c>
      <x:c r="AI23" s="493"/>
    </x:row>
    <x:row r="24">
      <x:c r="A24">
        <x:v>23</x:v>
      </x:c>
      <x:c r="B24" t="s">
        <x:v>168</x:v>
      </x:c>
      <x:c r="C24" t="s">
        <x:v>42</x:v>
      </x:c>
      <x:c r="D24" s="2" t="s">
        <x:v>169</x:v>
      </x:c>
      <x:c r="E24">
        <x:v>2</x:v>
      </x:c>
      <x:c r="F24" t="s">
        <x:v>19</x:v>
      </x:c>
      <x:c r="G24" t="str">
        <x:v>-</x:v>
      </x:c>
      <x:c r="H24" t="s">
        <x:v>170</x:v>
      </x:c>
      <x:c r="I24" t="s">
        <x:v>171</x:v>
      </x:c>
      <x:c r="J24" t="s">
        <x:v>172</x:v>
      </x:c>
      <x:c r="K24" t="s">
        <x:v>173</x:v>
      </x:c>
      <x:c r="L24" t="s">
        <x:v>24</x:v>
      </x:c>
      <x:c r="M24" t="s">
        <x:v>25</x:v>
      </x:c>
      <x:c r="N24" t="s">
        <x:v>42</x:v>
      </x:c>
      <x:c r="O24" t="s">
        <x:v>24</x:v>
      </x:c>
      <x:c r="P24" t="s">
        <x:v>24</x:v>
      </x:c>
      <x:c r="Q24" s="36"/>
      <x:c r="R24" s="36"/>
      <x:c r="S24" s="37"/>
      <x:c r="T24" s="38"/>
      <x:c r="U24" s="37"/>
      <x:c r="V24" s="38"/>
      <x:c r="W24" s="38"/>
      <x:c r="X24" s="37"/>
      <x:c r="Y24" s="38"/>
      <x:c r="Z24" s="36"/>
      <x:c r="AA24" s="36"/>
      <x:c r="AB24" s="39"/>
      <x:c r="AC24" s="40"/>
      <x:c r="AD24" s="36"/>
      <x:c r="AE24" s="38"/>
      <x:c r="AF24" s="38"/>
      <x:c r="AG24" s="198"/>
      <x:c r="AH24" s="214" t="n">
        <x:f>IF(OR(J24="",J24="-"),"",LEN(J24)-LEN(SUBSTITUTE(J24,",",""))+1)</x:f>
        <x:v>7</x:v>
      </x:c>
      <x:c r="AI24" s="493"/>
    </x:row>
    <x:row r="25">
      <x:c r="A25">
        <x:v>24</x:v>
      </x:c>
      <x:c r="B25" t="s">
        <x:v>174</x:v>
      </x:c>
      <x:c r="C25" t="s">
        <x:v>95</x:v>
      </x:c>
      <x:c r="D25" s="2" t="s">
        <x:v>169</x:v>
      </x:c>
      <x:c r="E25">
        <x:v>2</x:v>
      </x:c>
      <x:c r="F25" t="s">
        <x:v>19</x:v>
      </x:c>
      <x:c r="G25" t="str">
        <x:v>-</x:v>
      </x:c>
      <x:c r="H25" t="s">
        <x:v>175</x:v>
      </x:c>
      <x:c r="I25" t="s">
        <x:v>176</x:v>
      </x:c>
      <x:c r="J25" t="s">
        <x:v>177</x:v>
      </x:c>
      <x:c r="K25" t="s">
        <x:v>178</x:v>
      </x:c>
      <x:c r="L25" t="s">
        <x:v>24</x:v>
      </x:c>
      <x:c r="M25" t="s">
        <x:v>25</x:v>
      </x:c>
      <x:c r="N25" t="s">
        <x:v>179</x:v>
      </x:c>
      <x:c r="O25" t="s">
        <x:v>24</x:v>
      </x:c>
      <x:c r="P25" t="s">
        <x:v>24</x:v>
      </x:c>
      <x:c r="Q25" s="36"/>
      <x:c r="R25" s="36"/>
      <x:c r="S25" s="37"/>
      <x:c r="T25" s="38"/>
      <x:c r="U25" s="37"/>
      <x:c r="V25" s="38"/>
      <x:c r="W25" s="38"/>
      <x:c r="X25" s="37"/>
      <x:c r="Y25" s="38"/>
      <x:c r="Z25" s="36"/>
      <x:c r="AA25" s="36"/>
      <x:c r="AB25" s="39"/>
      <x:c r="AC25" s="40"/>
      <x:c r="AD25" s="36"/>
      <x:c r="AE25" s="38"/>
      <x:c r="AF25" s="38"/>
      <x:c r="AG25" s="198"/>
      <x:c r="AH25" s="214" t="n">
        <x:f>IF(OR(J25="",J25="-"),"",LEN(J25)-LEN(SUBSTITUTE(J25,",",""))+1)</x:f>
        <x:v>7</x:v>
      </x:c>
      <x:c r="AI25" s="493"/>
    </x:row>
    <x:row r="26">
      <x:c r="A26">
        <x:v>25</x:v>
      </x:c>
      <x:c r="B26" t="s">
        <x:v>180</x:v>
      </x:c>
      <x:c r="C26" t="s">
        <x:v>181</x:v>
      </x:c>
      <x:c r="D26" s="2" t="s">
        <x:v>182</x:v>
      </x:c>
      <x:c r="E26">
        <x:v>2</x:v>
      </x:c>
      <x:c r="F26" t="s">
        <x:v>19</x:v>
      </x:c>
      <x:c r="G26" t="str">
        <x:v>3rd Place — S$500 Cash</x:v>
      </x:c>
      <x:c r="H26" t="s">
        <x:v>183</x:v>
      </x:c>
      <x:c r="I26" t="s">
        <x:v>184</x:v>
      </x:c>
      <x:c r="J26" t="s">
        <x:v>185</x:v>
      </x:c>
      <x:c r="K26" t="s">
        <x:v>186</x:v>
      </x:c>
      <x:c r="L26" t="s">
        <x:v>125</x:v>
      </x:c>
      <x:c r="M26" t="s">
        <x:v>25</x:v>
      </x:c>
      <x:c r="N26" t="s">
        <x:v>181</x:v>
      </x:c>
      <x:c r="O26" t="s">
        <x:v>24</x:v>
      </x:c>
      <x:c r="P26" t="s">
        <x:v>24</x:v>
      </x:c>
      <x:c r="Q26" s="36" t="str">
        <x:v>3rd Place</x:v>
      </x:c>
      <x:c r="R26" s="36"/>
      <x:c r="S26" s="37" t="n">
        <x:v>500</x:v>
      </x:c>
      <x:c r="T26" s="38" t="str">
        <x:v>SGD</x:v>
      </x:c>
      <x:c r="U26" s="37"/>
      <x:c r="V26" s="38"/>
      <x:c r="W26" s="38"/>
      <x:c r="X26" s="37"/>
      <x:c r="Y26" s="38"/>
      <x:c r="Z26" s="36"/>
      <x:c r="AA26" s="36"/>
      <x:c r="AB26" s="39"/>
      <x:c r="AC26" s="40"/>
      <x:c r="AD26" s="36"/>
      <x:c r="AE26" s="38" t="str">
        <x:v>Yes</x:v>
      </x:c>
      <x:c r="AF26" s="38" t="str">
        <x:v>Explicit cash</x:v>
      </x:c>
      <x:c r="AG26" s="198" t="str">
        <x:f>G26</x:f>
        <x:v>3rd Place — S$500 Cash</x:v>
      </x:c>
      <x:c r="AH26" s="214" t="n">
        <x:f>IF(OR(J26="",J26="-"),"",LEN(J26)-LEN(SUBSTITUTE(J26,",",""))+1)</x:f>
        <x:v>6</x:v>
      </x:c>
      <x:c r="AI26" s="493" t="str">
        <x:v>Per Team</x:v>
      </x:c>
    </x:row>
    <x:row r="27">
      <x:c r="A27">
        <x:v>26</x:v>
      </x:c>
      <x:c r="B27" t="s">
        <x:v>187</x:v>
      </x:c>
      <x:c r="C27" t="s">
        <x:v>188</x:v>
      </x:c>
      <x:c r="D27" s="2" t="s">
        <x:v>189</x:v>
      </x:c>
      <x:c r="E27">
        <x:v>1</x:v>
      </x:c>
      <x:c r="F27" t="s">
        <x:v>19</x:v>
      </x:c>
      <x:c r="G27" t="str">
        <x:v>-</x:v>
      </x:c>
      <x:c r="H27" t="s">
        <x:v>190</x:v>
      </x:c>
      <x:c r="I27" t="s">
        <x:v>191</x:v>
      </x:c>
      <x:c r="J27" t="s">
        <x:v>192</x:v>
      </x:c>
      <x:c r="K27" t="s">
        <x:v>193</x:v>
      </x:c>
      <x:c r="L27" t="s">
        <x:v>24</x:v>
      </x:c>
      <x:c r="M27" t="s">
        <x:v>25</x:v>
      </x:c>
      <x:c r="N27" t="s">
        <x:v>79</x:v>
      </x:c>
      <x:c r="O27" t="s">
        <x:v>24</x:v>
      </x:c>
      <x:c r="P27" t="s">
        <x:v>24</x:v>
      </x:c>
      <x:c r="Q27" s="36"/>
      <x:c r="R27" s="36"/>
      <x:c r="S27" s="37"/>
      <x:c r="T27" s="38"/>
      <x:c r="U27" s="37"/>
      <x:c r="V27" s="38"/>
      <x:c r="W27" s="38"/>
      <x:c r="X27" s="37"/>
      <x:c r="Y27" s="38"/>
      <x:c r="Z27" s="36"/>
      <x:c r="AA27" s="36"/>
      <x:c r="AB27" s="39"/>
      <x:c r="AC27" s="40"/>
      <x:c r="AD27" s="36"/>
      <x:c r="AE27" s="38"/>
      <x:c r="AF27" s="38"/>
      <x:c r="AG27" s="198"/>
      <x:c r="AH27" s="214" t="n">
        <x:f>IF(OR(J27="",J27="-"),"",LEN(J27)-LEN(SUBSTITUTE(J27,",",""))+1)</x:f>
        <x:v>5</x:v>
      </x:c>
      <x:c r="AI27" s="493"/>
    </x:row>
    <x:row r="28">
      <x:c r="A28">
        <x:v>27</x:v>
      </x:c>
      <x:c r="B28" t="s">
        <x:v>194</x:v>
      </x:c>
      <x:c r="C28" t="s">
        <x:v>195</x:v>
      </x:c>
      <x:c r="D28" s="2" t="s">
        <x:v>196</x:v>
      </x:c>
      <x:c r="E28">
        <x:v>2</x:v>
      </x:c>
      <x:c r="F28" t="s">
        <x:v>19</x:v>
      </x:c>
      <x:c r="G28" t="str">
        <x:v>-</x:v>
      </x:c>
      <x:c r="H28" t="s">
        <x:v>45</x:v>
      </x:c>
      <x:c r="I28" t="s">
        <x:v>197</x:v>
      </x:c>
      <x:c r="J28" t="s">
        <x:v>198</x:v>
      </x:c>
      <x:c r="K28" t="s">
        <x:v>199</x:v>
      </x:c>
      <x:c r="L28" t="s">
        <x:v>24</x:v>
      </x:c>
      <x:c r="M28" t="s">
        <x:v>25</x:v>
      </x:c>
      <x:c r="N28" t="s">
        <x:v>200</x:v>
      </x:c>
      <x:c r="O28" t="s">
        <x:v>24</x:v>
      </x:c>
      <x:c r="P28" t="s">
        <x:v>24</x:v>
      </x:c>
      <x:c r="Q28" s="36"/>
      <x:c r="R28" s="36"/>
      <x:c r="S28" s="37"/>
      <x:c r="T28" s="38"/>
      <x:c r="U28" s="37"/>
      <x:c r="V28" s="38"/>
      <x:c r="W28" s="38"/>
      <x:c r="X28" s="37"/>
      <x:c r="Y28" s="38"/>
      <x:c r="Z28" s="36"/>
      <x:c r="AA28" s="36"/>
      <x:c r="AB28" s="39"/>
      <x:c r="AC28" s="40"/>
      <x:c r="AD28" s="36"/>
      <x:c r="AE28" s="38"/>
      <x:c r="AF28" s="38"/>
      <x:c r="AG28" s="198"/>
      <x:c r="AH28" s="214" t="n">
        <x:f>IF(OR(J28="",J28="-"),"",LEN(J28)-LEN(SUBSTITUTE(J28,",",""))+1)</x:f>
        <x:v>4</x:v>
      </x:c>
      <x:c r="AI28" s="493"/>
    </x:row>
    <x:row r="29">
      <x:c r="A29">
        <x:v>28</x:v>
      </x:c>
      <x:c r="B29" t="s">
        <x:v>201</x:v>
      </x:c>
      <x:c r="C29" t="s">
        <x:v>202</x:v>
      </x:c>
      <x:c r="D29" s="2" t="s">
        <x:v>203</x:v>
      </x:c>
      <x:c r="E29">
        <x:v>2.5</x:v>
      </x:c>
      <x:c r="F29" t="s">
        <x:v>19</x:v>
      </x:c>
      <x:c r="G29" t="str">
        <x:v>-</x:v>
      </x:c>
      <x:c r="H29" t="s">
        <x:v>204</x:v>
      </x:c>
      <x:c r="I29" t="s">
        <x:v>205</x:v>
      </x:c>
      <x:c r="J29" t="s">
        <x:v>206</x:v>
      </x:c>
      <x:c r="K29" t="s">
        <x:v>207</x:v>
      </x:c>
      <x:c r="L29" t="s">
        <x:v>24</x:v>
      </x:c>
      <x:c r="M29" t="s">
        <x:v>25</x:v>
      </x:c>
      <x:c r="N29" t="s">
        <x:v>208</x:v>
      </x:c>
      <x:c r="O29" t="s">
        <x:v>24</x:v>
      </x:c>
      <x:c r="P29" t="s">
        <x:v>24</x:v>
      </x:c>
      <x:c r="Q29" s="36"/>
      <x:c r="R29" s="36"/>
      <x:c r="S29" s="37"/>
      <x:c r="T29" s="38"/>
      <x:c r="U29" s="37"/>
      <x:c r="V29" s="38"/>
      <x:c r="W29" s="38"/>
      <x:c r="X29" s="37"/>
      <x:c r="Y29" s="38"/>
      <x:c r="Z29" s="36"/>
      <x:c r="AA29" s="36"/>
      <x:c r="AB29" s="39"/>
      <x:c r="AC29" s="40"/>
      <x:c r="AD29" s="36"/>
      <x:c r="AE29" s="38"/>
      <x:c r="AF29" s="38"/>
      <x:c r="AG29" s="198"/>
      <x:c r="AH29" s="214" t="n">
        <x:f>IF(OR(J29="",J29="-"),"",LEN(J29)-LEN(SUBSTITUTE(J29,",",""))+1)</x:f>
        <x:v>4</x:v>
      </x:c>
      <x:c r="AI29" s="493"/>
    </x:row>
    <x:row r="30">
      <x:c r="A30">
        <x:v>29</x:v>
      </x:c>
      <x:c r="B30" t="s">
        <x:v>174</x:v>
      </x:c>
      <x:c r="C30" t="s">
        <x:v>209</x:v>
      </x:c>
      <x:c r="D30" s="2" t="s">
        <x:v>210</x:v>
      </x:c>
      <x:c r="E30">
        <x:v>2</x:v>
      </x:c>
      <x:c r="F30" t="s">
        <x:v>19</x:v>
      </x:c>
      <x:c r="G30" t="str">
        <x:v>-</x:v>
      </x:c>
      <x:c r="H30" t="s">
        <x:v>204</x:v>
      </x:c>
      <x:c r="I30" t="s">
        <x:v>211</x:v>
      </x:c>
      <x:c r="J30" t="s">
        <x:v>212</x:v>
      </x:c>
      <x:c r="K30" t="s">
        <x:v>178</x:v>
      </x:c>
      <x:c r="L30" t="s">
        <x:v>24</x:v>
      </x:c>
      <x:c r="M30" t="s">
        <x:v>25</x:v>
      </x:c>
      <x:c r="N30" t="s">
        <x:v>95</x:v>
      </x:c>
      <x:c r="O30" t="s">
        <x:v>24</x:v>
      </x:c>
      <x:c r="P30" t="s">
        <x:v>24</x:v>
      </x:c>
      <x:c r="Q30" s="36"/>
      <x:c r="R30" s="36"/>
      <x:c r="S30" s="37"/>
      <x:c r="T30" s="38"/>
      <x:c r="U30" s="37"/>
      <x:c r="V30" s="38"/>
      <x:c r="W30" s="38"/>
      <x:c r="X30" s="37"/>
      <x:c r="Y30" s="38"/>
      <x:c r="Z30" s="36"/>
      <x:c r="AA30" s="36"/>
      <x:c r="AB30" s="39"/>
      <x:c r="AC30" s="40"/>
      <x:c r="AD30" s="36"/>
      <x:c r="AE30" s="38"/>
      <x:c r="AF30" s="38"/>
      <x:c r="AG30" s="198"/>
      <x:c r="AH30" s="214" t="n">
        <x:f>IF(OR(J30="",J30="-"),"",LEN(J30)-LEN(SUBSTITUTE(J30,",",""))+1)</x:f>
        <x:v>4</x:v>
      </x:c>
      <x:c r="AI30" s="493"/>
    </x:row>
    <x:row r="31">
      <x:c r="A31">
        <x:v>30</x:v>
      </x:c>
      <x:c r="B31" t="s">
        <x:v>213</x:v>
      </x:c>
      <x:c r="C31" t="s">
        <x:v>214</x:v>
      </x:c>
      <x:c r="D31" s="2" t="s">
        <x:v>215</x:v>
      </x:c>
      <x:c r="E31">
        <x:v>1</x:v>
      </x:c>
      <x:c r="F31" t="s">
        <x:v>19</x:v>
      </x:c>
      <x:c r="G31" t="str">
        <x:v>-</x:v>
      </x:c>
      <x:c r="H31" t="s">
        <x:v>216</x:v>
      </x:c>
      <x:c r="I31" t="s">
        <x:v>217</x:v>
      </x:c>
      <x:c r="J31" t="s">
        <x:v>218</x:v>
      </x:c>
      <x:c r="K31" t="s">
        <x:v>219</x:v>
      </x:c>
      <x:c r="L31" t="s">
        <x:v>24</x:v>
      </x:c>
      <x:c r="M31" t="s">
        <x:v>25</x:v>
      </x:c>
      <x:c r="N31" t="s">
        <x:v>220</x:v>
      </x:c>
      <x:c r="O31" t="s">
        <x:v>24</x:v>
      </x:c>
      <x:c r="P31" t="s">
        <x:v>24</x:v>
      </x:c>
      <x:c r="Q31" s="36"/>
      <x:c r="R31" s="36"/>
      <x:c r="S31" s="37"/>
      <x:c r="T31" s="38"/>
      <x:c r="U31" s="37"/>
      <x:c r="V31" s="38"/>
      <x:c r="W31" s="38"/>
      <x:c r="X31" s="37"/>
      <x:c r="Y31" s="38"/>
      <x:c r="Z31" s="36"/>
      <x:c r="AA31" s="36"/>
      <x:c r="AB31" s="39"/>
      <x:c r="AC31" s="40"/>
      <x:c r="AD31" s="36"/>
      <x:c r="AE31" s="38"/>
      <x:c r="AF31" s="38"/>
      <x:c r="AG31" s="198"/>
      <x:c r="AH31" s="214" t="n">
        <x:f>IF(OR(J31="",J31="-"),"",LEN(J31)-LEN(SUBSTITUTE(J31,",",""))+1)</x:f>
        <x:v>2</x:v>
      </x:c>
      <x:c r="AI31" s="493"/>
    </x:row>
    <x:row r="32">
      <x:c r="A32">
        <x:v>31</x:v>
      </x:c>
      <x:c r="B32" t="s">
        <x:v>221</x:v>
      </x:c>
      <x:c r="C32" t="s">
        <x:v>222</x:v>
      </x:c>
      <x:c r="D32" s="2" t="s">
        <x:v>223</x:v>
      </x:c>
      <x:c r="E32">
        <x:v>2</x:v>
      </x:c>
      <x:c r="F32" t="s">
        <x:v>19</x:v>
      </x:c>
      <x:c r="G32" t="str">
        <x:v>-</x:v>
      </x:c>
      <x:c r="H32" t="s">
        <x:v>224</x:v>
      </x:c>
      <x:c r="I32" t="s">
        <x:v>225</x:v>
      </x:c>
      <x:c r="J32" t="s">
        <x:v>226</x:v>
      </x:c>
      <x:c r="K32" t="s">
        <x:v>227</x:v>
      </x:c>
      <x:c r="L32" t="s">
        <x:v>24</x:v>
      </x:c>
      <x:c r="M32" t="s">
        <x:v>25</x:v>
      </x:c>
      <x:c r="N32" t="s">
        <x:v>222</x:v>
      </x:c>
      <x:c r="O32" t="s">
        <x:v>24</x:v>
      </x:c>
      <x:c r="P32" t="s">
        <x:v>24</x:v>
      </x:c>
      <x:c r="Q32" s="36"/>
      <x:c r="R32" s="36"/>
      <x:c r="S32" s="37"/>
      <x:c r="T32" s="38"/>
      <x:c r="U32" s="37"/>
      <x:c r="V32" s="38"/>
      <x:c r="W32" s="38"/>
      <x:c r="X32" s="37"/>
      <x:c r="Y32" s="38"/>
      <x:c r="Z32" s="36"/>
      <x:c r="AA32" s="36"/>
      <x:c r="AB32" s="39"/>
      <x:c r="AC32" s="40"/>
      <x:c r="AD32" s="36"/>
      <x:c r="AE32" s="38"/>
      <x:c r="AF32" s="38"/>
      <x:c r="AG32" s="198"/>
      <x:c r="AH32" s="214" t="n">
        <x:f>IF(OR(J32="",J32="-"),"",LEN(J32)-LEN(SUBSTITUTE(J32,",",""))+1)</x:f>
        <x:v>4</x:v>
      </x:c>
      <x:c r="AI32" s="493"/>
    </x:row>
    <x:row r="33">
      <x:c r="A33">
        <x:v>32</x:v>
      </x:c>
      <x:c r="B33" t="s">
        <x:v>228</x:v>
      </x:c>
      <x:c r="C33" t="s">
        <x:v>229</x:v>
      </x:c>
      <x:c r="D33" s="2" t="s">
        <x:v>230</x:v>
      </x:c>
      <x:c r="E33">
        <x:v>2</x:v>
      </x:c>
      <x:c r="F33" t="s">
        <x:v>19</x:v>
      </x:c>
      <x:c r="G33"/>
      <x:c r="H33" t="s">
        <x:v>231</x:v>
      </x:c>
      <x:c r="I33" t="s">
        <x:v>232</x:v>
      </x:c>
      <x:c r="J33" t="s">
        <x:v>233</x:v>
      </x:c>
      <x:c r="K33" t="s">
        <x:v>234</x:v>
      </x:c>
      <x:c r="L33" t="s">
        <x:v>229</x:v>
      </x:c>
      <x:c r="M33" t="s">
        <x:v>25</x:v>
      </x:c>
      <x:c r="N33" t="s">
        <x:v>235</x:v>
      </x:c>
      <x:c r="O33" t="s">
        <x:v>24</x:v>
      </x:c>
      <x:c r="P33" t="s">
        <x:v>24</x:v>
      </x:c>
      <x:c r="Q33" s="36"/>
      <x:c r="R33" s="36"/>
      <x:c r="S33" s="37"/>
      <x:c r="T33" s="38"/>
      <x:c r="U33" s="37"/>
      <x:c r="V33" s="38"/>
      <x:c r="W33" s="38"/>
      <x:c r="X33" s="37"/>
      <x:c r="Y33" s="38"/>
      <x:c r="Z33" s="36"/>
      <x:c r="AA33" s="36"/>
      <x:c r="AB33" s="39"/>
      <x:c r="AC33" s="40"/>
      <x:c r="AD33" s="36"/>
      <x:c r="AE33" s="38"/>
      <x:c r="AF33" s="38"/>
      <x:c r="AG33" s="198"/>
      <x:c r="AH33" s="214" t="n">
        <x:f>IF(OR(J33="",J33="-"),"",LEN(J33)-LEN(SUBSTITUTE(J33,",",""))+1)</x:f>
        <x:v>2</x:v>
      </x:c>
      <x:c r="AI33" s="493"/>
    </x:row>
    <x:row r="34">
      <x:c r="A34">
        <x:v>33</x:v>
      </x:c>
      <x:c r="B34" t="s">
        <x:v>228</x:v>
      </x:c>
      <x:c r="C34" t="s">
        <x:v>229</x:v>
      </x:c>
      <x:c r="D34" s="2" t="s">
        <x:v>230</x:v>
      </x:c>
      <x:c r="E34">
        <x:v>2</x:v>
      </x:c>
      <x:c r="F34" t="s">
        <x:v>19</x:v>
      </x:c>
      <x:c r="G34" t="str">
        <x:v>3rd Place — S$250 Cash</x:v>
      </x:c>
      <x:c r="H34" t="s">
        <x:v>231</x:v>
      </x:c>
      <x:c r="I34" t="s">
        <x:v>236</x:v>
      </x:c>
      <x:c r="J34" t="s">
        <x:v>237</x:v>
      </x:c>
      <x:c r="K34" t="s">
        <x:v>238</x:v>
      </x:c>
      <x:c r="L34" t="s">
        <x:v>229</x:v>
      </x:c>
      <x:c r="M34" t="s">
        <x:v>25</x:v>
      </x:c>
      <x:c r="N34" t="s">
        <x:v>235</x:v>
      </x:c>
      <x:c r="O34" t="s">
        <x:v>24</x:v>
      </x:c>
      <x:c r="P34" t="s">
        <x:v>24</x:v>
      </x:c>
      <x:c r="Q34" s="36" t="str">
        <x:v>3rd Place</x:v>
      </x:c>
      <x:c r="R34" s="36"/>
      <x:c r="S34" s="37" t="n">
        <x:v>250</x:v>
      </x:c>
      <x:c r="T34" s="38" t="str">
        <x:v>SGD</x:v>
      </x:c>
      <x:c r="U34" s="37"/>
      <x:c r="V34" s="38"/>
      <x:c r="W34" s="38"/>
      <x:c r="X34" s="37"/>
      <x:c r="Y34" s="38"/>
      <x:c r="Z34" s="36"/>
      <x:c r="AA34" s="36"/>
      <x:c r="AB34" s="39"/>
      <x:c r="AC34" s="40"/>
      <x:c r="AD34" s="36"/>
      <x:c r="AE34" s="38" t="str">
        <x:v>Yes</x:v>
      </x:c>
      <x:c r="AF34" s="38" t="str">
        <x:v>Confirmed cash</x:v>
      </x:c>
      <x:c r="AG34" s="198" t="str">
        <x:f>G34</x:f>
        <x:v>3rd Place — S$250 Cash</x:v>
      </x:c>
      <x:c r="AH34" s="214" t="n">
        <x:f>IF(OR(J34="",J34="-"),"",LEN(J34)-LEN(SUBSTITUTE(J34,",",""))+1)</x:f>
        <x:v>2</x:v>
      </x:c>
      <x:c r="AI34" s="493" t="str">
        <x:v>Per Team</x:v>
      </x:c>
    </x:row>
    <x:row r="35">
      <x:c r="A35">
        <x:v>34</x:v>
      </x:c>
      <x:c r="B35" t="s">
        <x:v>239</x:v>
      </x:c>
      <x:c r="C35" t="s">
        <x:v>240</x:v>
      </x:c>
      <x:c r="D35" s="2" t="s">
        <x:v>241</x:v>
      </x:c>
      <x:c r="E35">
        <x:v>2</x:v>
      </x:c>
      <x:c r="F35" t="s">
        <x:v>19</x:v>
      </x:c>
      <x:c r="G35" t="str">
        <x:v>-</x:v>
      </x:c>
      <x:c r="H35" t="s">
        <x:v>20</x:v>
      </x:c>
      <x:c r="I35" t="s">
        <x:v>242</x:v>
      </x:c>
      <x:c r="J35" t="s">
        <x:v>243</x:v>
      </x:c>
      <x:c r="K35" t="s">
        <x:v>244</x:v>
      </x:c>
      <x:c r="L35" t="s">
        <x:v>24</x:v>
      </x:c>
      <x:c r="M35" t="s">
        <x:v>25</x:v>
      </x:c>
      <x:c r="N35" t="s">
        <x:v>245</x:v>
      </x:c>
      <x:c r="O35" t="s">
        <x:v>246</x:v>
      </x:c>
      <x:c r="P35" t="s">
        <x:v>24</x:v>
      </x:c>
      <x:c r="Q35" s="36"/>
      <x:c r="R35" s="36"/>
      <x:c r="S35" s="37"/>
      <x:c r="T35" s="38"/>
      <x:c r="U35" s="37"/>
      <x:c r="V35" s="38"/>
      <x:c r="W35" s="38"/>
      <x:c r="X35" s="37"/>
      <x:c r="Y35" s="38"/>
      <x:c r="Z35" s="36"/>
      <x:c r="AA35" s="36"/>
      <x:c r="AB35" s="39"/>
      <x:c r="AC35" s="40"/>
      <x:c r="AD35" s="36"/>
      <x:c r="AE35" s="38"/>
      <x:c r="AF35" s="38"/>
      <x:c r="AG35" s="198"/>
      <x:c r="AH35" s="214" t="n">
        <x:f>IF(OR(J35="",J35="-"),"",LEN(J35)-LEN(SUBSTITUTE(J35,",",""))+1)</x:f>
        <x:v>3</x:v>
      </x:c>
      <x:c r="AI35" s="493"/>
    </x:row>
    <x:row r="36">
      <x:c r="A36">
        <x:v>35</x:v>
      </x:c>
      <x:c r="B36" t="s">
        <x:v>247</x:v>
      </x:c>
      <x:c r="C36" t="s">
        <x:v>248</x:v>
      </x:c>
      <x:c r="D36" s="2" t="s">
        <x:v>249</x:v>
      </x:c>
      <x:c r="E36">
        <x:v>2</x:v>
      </x:c>
      <x:c r="F36" t="s">
        <x:v>19</x:v>
      </x:c>
      <x:c r="G36" t="str">
        <x:v>2nd Place — S$1,000 Cash</x:v>
      </x:c>
      <x:c r="H36" t="s">
        <x:v>250</x:v>
      </x:c>
      <x:c r="I36" t="s">
        <x:v>251</x:v>
      </x:c>
      <x:c r="J36" t="s">
        <x:v>252</x:v>
      </x:c>
      <x:c r="K36" t="s">
        <x:v>253</x:v>
      </x:c>
      <x:c r="L36" t="s">
        <x:v>24</x:v>
      </x:c>
      <x:c r="M36" t="s">
        <x:v>25</x:v>
      </x:c>
      <x:c r="N36" t="s">
        <x:v>248</x:v>
      </x:c>
      <x:c r="O36" t="s">
        <x:v>254</x:v>
      </x:c>
      <x:c r="P36" t="s">
        <x:v>24</x:v>
      </x:c>
      <x:c r="Q36" s="36" t="str">
        <x:v>2nd Place</x:v>
      </x:c>
      <x:c r="R36" s="36"/>
      <x:c r="S36" s="37" t="n">
        <x:v>1000</x:v>
      </x:c>
      <x:c r="T36" s="38" t="str">
        <x:v>SGD</x:v>
      </x:c>
      <x:c r="U36" s="37"/>
      <x:c r="V36" s="38"/>
      <x:c r="W36" s="38"/>
      <x:c r="X36" s="37"/>
      <x:c r="Y36" s="38"/>
      <x:c r="Z36" s="36"/>
      <x:c r="AA36" s="36"/>
      <x:c r="AB36" s="39"/>
      <x:c r="AC36" s="40"/>
      <x:c r="AD36" s="36"/>
      <x:c r="AE36" s="38" t="str">
        <x:v>Yes</x:v>
      </x:c>
      <x:c r="AF36" s="38" t="str">
        <x:v>Confirmed cash</x:v>
      </x:c>
      <x:c r="AG36" s="198" t="str">
        <x:f>G36</x:f>
        <x:v>2nd Place — S$1,000 Cash</x:v>
      </x:c>
      <x:c r="AH36" s="214" t="n">
        <x:f>IF(OR(J36="",J36="-"),"",LEN(J36)-LEN(SUBSTITUTE(J36,",",""))+1)</x:f>
        <x:v>4</x:v>
      </x:c>
      <x:c r="AI36" s="493" t="str">
        <x:v>Per Team</x:v>
      </x:c>
    </x:row>
    <x:row r="37">
      <x:c r="A37">
        <x:v>36</x:v>
      </x:c>
      <x:c r="B37" t="s">
        <x:v>255</x:v>
      </x:c>
      <x:c r="C37" t="s">
        <x:v>256</x:v>
      </x:c>
      <x:c r="D37" s="2" t="s">
        <x:v>257</x:v>
      </x:c>
      <x:c r="E37">
        <x:v>3</x:v>
      </x:c>
      <x:c r="F37" t="s">
        <x:v>19</x:v>
      </x:c>
      <x:c r="G37" t="str">
        <x:v>-</x:v>
      </x:c>
      <x:c r="H37" t="s">
        <x:v>258</x:v>
      </x:c>
      <x:c r="I37" t="s">
        <x:v>259</x:v>
      </x:c>
      <x:c r="J37" t="s">
        <x:v>260</x:v>
      </x:c>
      <x:c r="K37" t="s">
        <x:v>261</x:v>
      </x:c>
      <x:c r="L37" t="s">
        <x:v>262</x:v>
      </x:c>
      <x:c r="M37" t="s">
        <x:v>25</x:v>
      </x:c>
      <x:c r="N37" t="s">
        <x:v>263</x:v>
      </x:c>
      <x:c r="O37" s="1" t="s">
        <x:v>264</x:v>
      </x:c>
      <x:c r="P37" t="s">
        <x:v>24</x:v>
      </x:c>
      <x:c r="Q37" s="36"/>
      <x:c r="R37" s="36"/>
      <x:c r="S37" s="37"/>
      <x:c r="T37" s="38"/>
      <x:c r="U37" s="37"/>
      <x:c r="V37" s="38"/>
      <x:c r="W37" s="38"/>
      <x:c r="X37" s="37"/>
      <x:c r="Y37" s="38"/>
      <x:c r="Z37" s="36"/>
      <x:c r="AA37" s="36"/>
      <x:c r="AB37" s="39"/>
      <x:c r="AC37" s="40"/>
      <x:c r="AD37" s="36"/>
      <x:c r="AE37" s="38"/>
      <x:c r="AF37" s="38"/>
      <x:c r="AG37" s="198"/>
      <x:c r="AH37" s="214" t="n">
        <x:f>IF(OR(J37="",J37="-"),"",LEN(J37)-LEN(SUBSTITUTE(J37,",",""))+1)</x:f>
        <x:v>4</x:v>
      </x:c>
      <x:c r="AI37" s="493"/>
    </x:row>
    <x:row r="38">
      <x:c r="A38">
        <x:v>37</x:v>
      </x:c>
      <x:c r="B38" t="s">
        <x:v>265</x:v>
      </x:c>
      <x:c r="C38" t="s">
        <x:v>266</x:v>
      </x:c>
      <x:c r="D38" s="2" t="s">
        <x:v>267</x:v>
      </x:c>
      <x:c r="E38">
        <x:v>1</x:v>
      </x:c>
      <x:c r="F38" t="s">
        <x:v>19</x:v>
      </x:c>
      <x:c r="G38" t="str">
        <x:v>-</x:v>
      </x:c>
      <x:c r="H38" t="s">
        <x:v>258</x:v>
      </x:c>
      <x:c r="I38" t="s">
        <x:v>268</x:v>
      </x:c>
      <x:c r="J38" t="s">
        <x:v>260</x:v>
      </x:c>
      <x:c r="K38" t="s">
        <x:v>269</x:v>
      </x:c>
      <x:c r="L38" t="s">
        <x:v>270</x:v>
      </x:c>
      <x:c r="M38" t="s">
        <x:v>25</x:v>
      </x:c>
      <x:c r="N38" t="s">
        <x:v>266</x:v>
      </x:c>
      <x:c r="O38" t="s">
        <x:v>271</x:v>
      </x:c>
      <x:c r="P38" t="s">
        <x:v>24</x:v>
      </x:c>
      <x:c r="Q38" s="36"/>
      <x:c r="R38" s="36"/>
      <x:c r="S38" s="37"/>
      <x:c r="T38" s="38"/>
      <x:c r="U38" s="37"/>
      <x:c r="V38" s="38"/>
      <x:c r="W38" s="38"/>
      <x:c r="X38" s="37"/>
      <x:c r="Y38" s="38"/>
      <x:c r="Z38" s="36"/>
      <x:c r="AA38" s="36"/>
      <x:c r="AB38" s="39"/>
      <x:c r="AC38" s="40"/>
      <x:c r="AD38" s="36"/>
      <x:c r="AE38" s="38"/>
      <x:c r="AF38" s="38"/>
      <x:c r="AG38" s="198"/>
      <x:c r="AH38" s="214" t="n">
        <x:f>IF(OR(J38="",J38="-"),"",LEN(J38)-LEN(SUBSTITUTE(J38,",",""))+1)</x:f>
        <x:v>4</x:v>
      </x:c>
      <x:c r="AI38" s="493"/>
    </x:row>
    <x:row r="39">
      <x:c r="A39">
        <x:v>38</x:v>
      </x:c>
      <x:c r="B39" t="s">
        <x:v>272</x:v>
      </x:c>
      <x:c r="C39" t="s">
        <x:v>273</x:v>
      </x:c>
      <x:c r="D39" s="2" t="s">
        <x:v>274</x:v>
      </x:c>
      <x:c r="E39">
        <x:v>1</x:v>
      </x:c>
      <x:c r="F39" t="s">
        <x:v>19</x:v>
      </x:c>
      <x:c r="G39" t="str">
        <x:v>2nd Place — Manus Pro Subscription (US$39/month each)</x:v>
      </x:c>
      <x:c r="H39" t="s">
        <x:v>275</x:v>
      </x:c>
      <x:c r="I39" t="s">
        <x:v>276</x:v>
      </x:c>
      <x:c r="J39" t="s">
        <x:v>260</x:v>
      </x:c>
      <x:c r="K39" t="s">
        <x:v>277</x:v>
      </x:c>
      <x:c r="L39" t="s">
        <x:v>278</x:v>
      </x:c>
      <x:c r="M39" t="s">
        <x:v>25</x:v>
      </x:c>
      <x:c r="N39" t="s">
        <x:v>279</x:v>
      </x:c>
      <x:c r="O39" t="s">
        <x:v>280</x:v>
      </x:c>
      <x:c r="P39" t="s">
        <x:v>24</x:v>
      </x:c>
      <x:c r="Q39" s="36" t="str">
        <x:v>2nd Prize</x:v>
      </x:c>
      <x:c r="R39" s="36"/>
      <x:c r="S39" s="37"/>
      <x:c r="T39" s="38"/>
      <x:c r="U39" s="37"/>
      <x:c r="V39" s="38"/>
      <x:c r="W39" s="38" t="n">
        <x:v>1</x:v>
      </x:c>
      <x:c r="X39" s="37" t="n">
        <x:v>39</x:v>
      </x:c>
      <x:c r="Y39" s="38" t="str">
        <x:v>USD</x:v>
      </x:c>
      <x:c r="Z39" s="36" t="str">
        <x:v>Manus Pro subscription</x:v>
      </x:c>
      <x:c r="AA39" s="36"/>
      <x:c r="AB39" s="39"/>
      <x:c r="AC39" s="40"/>
      <x:c r="AD39" s="36"/>
      <x:c r="AE39" s="38" t="str">
        <x:v>Exclude</x:v>
      </x:c>
      <x:c r="AF39" s="38" t="str">
        <x:v>US$39 monthly value at award period</x:v>
      </x:c>
      <x:c r="AG39" s="198" t="str">
        <x:f>G39</x:f>
        <x:v>2nd Place — Manus Pro Subscription (US$39/month each)</x:v>
      </x:c>
      <x:c r="AH39" s="214" t="n">
        <x:f>IF(OR(J39="",J39="-"),"",LEN(J39)-LEN(SUBSTITUTE(J39,",",""))+1)</x:f>
        <x:v>4</x:v>
      </x:c>
      <x:c r="AI39" s="493" t="str">
        <x:v>Per Team Member</x:v>
      </x:c>
    </x:row>
    <x:row r="40">
      <x:c r="A40">
        <x:v>39</x:v>
      </x:c>
      <x:c r="B40" t="s">
        <x:v>281</x:v>
      </x:c>
      <x:c r="C40" t="s">
        <x:v>282</x:v>
      </x:c>
      <x:c r="D40" s="2" t="s">
        <x:v>283</x:v>
      </x:c>
      <x:c r="E40">
        <x:v>1</x:v>
      </x:c>
      <x:c r="F40" t="s">
        <x:v>19</x:v>
      </x:c>
      <x:c r="G40" t="str">
        <x:v>-</x:v>
      </x:c>
      <x:c r="H40" t="s">
        <x:v>258</x:v>
      </x:c>
      <x:c r="I40" t="s">
        <x:v>284</x:v>
      </x:c>
      <x:c r="J40" t="s">
        <x:v>285</x:v>
      </x:c>
      <x:c r="K40" t="s">
        <x:v>286</x:v>
      </x:c>
      <x:c r="L40" t="s">
        <x:v>24</x:v>
      </x:c>
      <x:c r="M40" t="s">
        <x:v>25</x:v>
      </x:c>
      <x:c r="N40" t="s">
        <x:v>279</x:v>
      </x:c>
      <x:c r="O40" t="s">
        <x:v>287</x:v>
      </x:c>
      <x:c r="P40" t="s">
        <x:v>24</x:v>
      </x:c>
      <x:c r="Q40" s="36"/>
      <x:c r="R40" s="36"/>
      <x:c r="S40" s="37"/>
      <x:c r="T40" s="38"/>
      <x:c r="U40" s="37"/>
      <x:c r="V40" s="38"/>
      <x:c r="W40" s="38"/>
      <x:c r="X40" s="37"/>
      <x:c r="Y40" s="38"/>
      <x:c r="Z40" s="36"/>
      <x:c r="AA40" s="36"/>
      <x:c r="AB40" s="39"/>
      <x:c r="AC40" s="40"/>
      <x:c r="AD40" s="36"/>
      <x:c r="AE40" s="38"/>
      <x:c r="AF40" s="38"/>
      <x:c r="AG40" s="198"/>
      <x:c r="AH40" s="214" t="n">
        <x:f>IF(OR(J40="",J40="-"),"",LEN(J40)-LEN(SUBSTITUTE(J40,",",""))+1)</x:f>
        <x:v>2</x:v>
      </x:c>
      <x:c r="AI40" s="493"/>
    </x:row>
    <x:row r="41">
      <x:c r="A41">
        <x:v>40</x:v>
      </x:c>
      <x:c r="B41" t="s">
        <x:v>288</x:v>
      </x:c>
      <x:c r="C41" t="s">
        <x:v>289</x:v>
      </x:c>
      <x:c r="D41" s="2" t="s">
        <x:v>290</x:v>
      </x:c>
      <x:c r="E41">
        <x:v>1</x:v>
      </x:c>
      <x:c r="F41" t="s">
        <x:v>19</x:v>
      </x:c>
      <x:c r="G41" t="str">
        <x:v>Novel Hackathon Finisher — Trophy</x:v>
      </x:c>
      <x:c r="H41" t="s">
        <x:v>291</x:v>
      </x:c>
      <x:c r="J41" t="s">
        <x:v>292</x:v>
      </x:c>
      <x:c r="K41" t="s">
        <x:v>24</x:v>
      </x:c>
      <x:c r="L41" t="s">
        <x:v>293</x:v>
      </x:c>
      <x:c r="M41" t="s">
        <x:v>294</x:v>
      </x:c>
      <x:c r="N41" t="s">
        <x:v>295</x:v>
      </x:c>
      <x:c r="O41" t="s">
        <x:v>24</x:v>
      </x:c>
      <x:c r="P41" t="s">
        <x:v>24</x:v>
      </x:c>
      <x:c r="Q41" s="36" t="str">
        <x:v>Novel Hackathon Finisher</x:v>
      </x:c>
      <x:c r="R41" s="36"/>
      <x:c r="S41" s="37"/>
      <x:c r="T41" s="38"/>
      <x:c r="U41" s="37"/>
      <x:c r="V41" s="38"/>
      <x:c r="W41" s="38"/>
      <x:c r="X41" s="37"/>
      <x:c r="Y41" s="38"/>
      <x:c r="Z41" s="36" t="str">
        <x:v>Trophy</x:v>
      </x:c>
      <x:c r="AA41" s="36" t="str">
        <x:v>Trophy</x:v>
      </x:c>
      <x:c r="AB41" s="39" t="n">
        <x:v>1</x:v>
      </x:c>
      <x:c r="AC41" s="40"/>
      <x:c r="AD41" s="36"/>
      <x:c r="AE41" s="38" t="str">
        <x:v>Exclude</x:v>
      </x:c>
      <x:c r="AF41" s="38" t="str">
        <x:v>Trophy, not cash</x:v>
      </x:c>
      <x:c r="AG41" s="198" t="str">
        <x:f>G41</x:f>
        <x:v>Novel Hackathon Finisher — Trophy</x:v>
      </x:c>
      <x:c r="AH41" s="214" t="n">
        <x:f>IF(OR(J41="",J41="-"),"",LEN(J41)-LEN(SUBSTITUTE(J41,",",""))+1)</x:f>
        <x:v>2</x:v>
      </x:c>
      <x:c r="AI41" s="493" t="str">
        <x:v>Per Team</x:v>
      </x:c>
    </x:row>
    <x:row r="42">
      <x:c r="A42">
        <x:v>41</x:v>
      </x:c>
      <x:c r="B42" t="s">
        <x:v>296</x:v>
      </x:c>
      <x:c r="C42" t="s">
        <x:v>297</x:v>
      </x:c>
      <x:c r="D42" s="4">
        <x:v>45920</x:v>
      </x:c>
      <x:c r="E42">
        <x:v>1</x:v>
      </x:c>
      <x:c r="F42" t="s">
        <x:v>19</x:v>
      </x:c>
      <x:c r="G42" t="str">
        <x:v>-</x:v>
      </x:c>
      <x:c r="H42" t="s">
        <x:v>298</x:v>
      </x:c>
      <x:c r="I42" t="s">
        <x:v>299</x:v>
      </x:c>
      <x:c r="J42" t="s">
        <x:v>300</x:v>
      </x:c>
      <x:c r="K42" t="s">
        <x:v>24</x:v>
      </x:c>
      <x:c r="M42" t="s">
        <x:v>25</x:v>
      </x:c>
      <x:c r="N42" t="s">
        <x:v>301</x:v>
      </x:c>
      <x:c r="O42" t="s">
        <x:v>302</x:v>
      </x:c>
      <x:c r="P42" t="s">
        <x:v>24</x:v>
      </x:c>
      <x:c r="Q42" s="36"/>
      <x:c r="R42" s="36"/>
      <x:c r="S42" s="37"/>
      <x:c r="T42" s="38"/>
      <x:c r="U42" s="37"/>
      <x:c r="V42" s="38"/>
      <x:c r="W42" s="38"/>
      <x:c r="X42" s="37"/>
      <x:c r="Y42" s="38"/>
      <x:c r="Z42" s="36"/>
      <x:c r="AA42" s="36"/>
      <x:c r="AB42" s="39"/>
      <x:c r="AC42" s="40"/>
      <x:c r="AD42" s="36"/>
      <x:c r="AE42" s="38"/>
      <x:c r="AF42" s="38"/>
      <x:c r="AG42" s="198"/>
      <x:c r="AH42" s="214" t="n">
        <x:f>IF(OR(J42="",J42="-"),"",LEN(J42)-LEN(SUBSTITUTE(J42,",",""))+1)</x:f>
        <x:v>1</x:v>
      </x:c>
      <x:c r="AI42" s="493"/>
    </x:row>
    <x:row r="43">
      <x:c r="A43">
        <x:v>42</x:v>
      </x:c>
      <x:c r="B43" t="s">
        <x:v>303</x:v>
      </x:c>
      <x:c r="C43" t="s">
        <x:v>304</x:v>
      </x:c>
      <x:c r="D43" s="4">
        <x:v>45930</x:v>
      </x:c>
      <x:c r="E43">
        <x:v>1</x:v>
      </x:c>
      <x:c r="F43" t="s">
        <x:v>19</x:v>
      </x:c>
      <x:c r="G43" t="str">
        <x:v>1st Place — US$500 Nosana Cloud Credits</x:v>
      </x:c>
      <x:c r="H43" t="s">
        <x:v>305</x:v>
      </x:c>
      <x:c r="I43" t="s">
        <x:v>306</x:v>
      </x:c>
      <x:c r="J43" t="s">
        <x:v>300</x:v>
      </x:c>
      <x:c r="K43" t="s">
        <x:v>307</x:v>
      </x:c>
      <x:c r="L43" t="s">
        <x:v>304</x:v>
      </x:c>
      <x:c r="M43" t="s">
        <x:v>25</x:v>
      </x:c>
      <x:c r="N43" t="s">
        <x:v>308</x:v>
      </x:c>
      <x:c r="O43" t="s">
        <x:v>309</x:v>
      </x:c>
      <x:c r="P43" t="s">
        <x:v>24</x:v>
      </x:c>
      <x:c r="Q43" s="36" t="str">
        <x:v>1st Prize</x:v>
      </x:c>
      <x:c r="R43" s="36"/>
      <x:c r="S43" s="37"/>
      <x:c r="T43" s="38"/>
      <x:c r="U43" s="37" t="n">
        <x:v>500</x:v>
      </x:c>
      <x:c r="V43" s="38" t="str">
        <x:v>USD</x:v>
      </x:c>
      <x:c r="W43" s="38"/>
      <x:c r="X43" s="37"/>
      <x:c r="Y43" s="38"/>
      <x:c r="Z43" s="36" t="str">
        <x:v>Nosana Cloud credit</x:v>
      </x:c>
      <x:c r="AA43" s="36"/>
      <x:c r="AB43" s="39"/>
      <x:c r="AC43" s="40"/>
      <x:c r="AD43" s="36"/>
      <x:c r="AE43" s="38" t="str">
        <x:v>Exclude</x:v>
      </x:c>
      <x:c r="AF43" s="38" t="str">
        <x:v>Cloud credit, not cash</x:v>
      </x:c>
      <x:c r="AG43" s="198" t="str">
        <x:f>G43</x:f>
        <x:v>1st Place — US$500 Nosana Cloud Credits</x:v>
      </x:c>
      <x:c r="AH43" s="214" t="n">
        <x:f>IF(OR(J43="",J43="-"),"",LEN(J43)-LEN(SUBSTITUTE(J43,",",""))+1)</x:f>
        <x:v>1</x:v>
      </x:c>
      <x:c r="AI43" s="493" t="str">
        <x:v>Per Team</x:v>
      </x:c>
    </x:row>
    <x:row r="44">
      <x:c r="A44">
        <x:v>43</x:v>
      </x:c>
      <x:c r="B44" t="s">
        <x:v>310</x:v>
      </x:c>
      <x:c r="C44" t="s">
        <x:v>311</x:v>
      </x:c>
      <x:c r="D44" s="5">
        <x:v>45932</x:v>
      </x:c>
      <x:c r="E44">
        <x:v>1</x:v>
      </x:c>
      <x:c r="F44" t="s">
        <x:v>19</x:v>
      </x:c>
      <x:c r="G44" t="str">
        <x:v>-</x:v>
      </x:c>
      <x:c r="H44" t="s">
        <x:v>312</x:v>
      </x:c>
      <x:c r="I44" t="s">
        <x:v>313</x:v>
      </x:c>
      <x:c r="J44" t="s">
        <x:v>300</x:v>
      </x:c>
      <x:c r="K44" t="s">
        <x:v>314</x:v>
      </x:c>
      <x:c r="L44" t="s">
        <x:v>24</x:v>
      </x:c>
      <x:c r="M44" t="s">
        <x:v>25</x:v>
      </x:c>
      <x:c r="N44" t="s">
        <x:v>279</x:v>
      </x:c>
      <x:c r="O44" t="s">
        <x:v>24</x:v>
      </x:c>
      <x:c r="P44" t="s">
        <x:v>24</x:v>
      </x:c>
      <x:c r="Q44" s="36"/>
      <x:c r="R44" s="36"/>
      <x:c r="S44" s="37"/>
      <x:c r="T44" s="38"/>
      <x:c r="U44" s="37"/>
      <x:c r="V44" s="38"/>
      <x:c r="W44" s="38"/>
      <x:c r="X44" s="37"/>
      <x:c r="Y44" s="38"/>
      <x:c r="Z44" s="36"/>
      <x:c r="AA44" s="36"/>
      <x:c r="AB44" s="39"/>
      <x:c r="AC44" s="40"/>
      <x:c r="AD44" s="36"/>
      <x:c r="AE44" s="38"/>
      <x:c r="AF44" s="38"/>
      <x:c r="AG44" s="198"/>
      <x:c r="AH44" s="214" t="n">
        <x:f>IF(OR(J44="",J44="-"),"",LEN(J44)-LEN(SUBSTITUTE(J44,",",""))+1)</x:f>
        <x:v>1</x:v>
      </x:c>
      <x:c r="AI44" s="493"/>
    </x:row>
    <x:row r="45">
      <x:c r="A45">
        <x:v>44</x:v>
      </x:c>
      <x:c r="B45" t="s">
        <x:v>315</x:v>
      </x:c>
      <x:c r="C45" t="s">
        <x:v>316</x:v>
      </x:c>
      <x:c r="D45" s="2" t="s">
        <x:v>317</x:v>
      </x:c>
      <x:c r="E45">
        <x:v>2</x:v>
      </x:c>
      <x:c r="F45" t="s">
        <x:v>19</x:v>
      </x:c>
      <x:c r="G45" t="str">
        <x:v>-</x:v>
      </x:c>
      <x:c r="H45" t="s">
        <x:v>258</x:v>
      </x:c>
      <x:c r="I45" t="s">
        <x:v>318</x:v>
      </x:c>
      <x:c r="J45" t="s">
        <x:v>319</x:v>
      </x:c>
      <x:c r="K45" t="s">
        <x:v>320</x:v>
      </x:c>
      <x:c r="L45" t="s">
        <x:v>321</x:v>
      </x:c>
      <x:c r="M45" t="s">
        <x:v>25</x:v>
      </x:c>
      <x:c r="N45" t="s">
        <x:v>89</x:v>
      </x:c>
      <x:c r="O45" t="s">
        <x:v>322</x:v>
      </x:c>
      <x:c r="P45" t="s">
        <x:v>24</x:v>
      </x:c>
      <x:c r="Q45" s="36"/>
      <x:c r="R45" s="36"/>
      <x:c r="S45" s="37"/>
      <x:c r="T45" s="38"/>
      <x:c r="U45" s="37"/>
      <x:c r="V45" s="38"/>
      <x:c r="W45" s="38"/>
      <x:c r="X45" s="37"/>
      <x:c r="Y45" s="38"/>
      <x:c r="Z45" s="36"/>
      <x:c r="AA45" s="36"/>
      <x:c r="AB45" s="39"/>
      <x:c r="AC45" s="40"/>
      <x:c r="AD45" s="36"/>
      <x:c r="AE45" s="38"/>
      <x:c r="AF45" s="38"/>
      <x:c r="AG45" s="198"/>
      <x:c r="AH45" s="214" t="n">
        <x:f>IF(OR(J45="",J45="-"),"",LEN(J45)-LEN(SUBSTITUTE(J45,",",""))+1)</x:f>
        <x:v>4</x:v>
      </x:c>
      <x:c r="AI45" s="493"/>
    </x:row>
    <x:row r="46">
      <x:c r="A46">
        <x:v>45</x:v>
      </x:c>
      <x:c r="B46" t="s">
        <x:v>323</x:v>
      </x:c>
      <x:c r="C46" t="s">
        <x:v>324</x:v>
      </x:c>
      <x:c r="D46" s="5">
        <x:v>45954</x:v>
      </x:c>
      <x:c r="E46">
        <x:v>1</x:v>
      </x:c>
      <x:c r="F46" t="s">
        <x:v>19</x:v>
      </x:c>
      <x:c r="G46" t="str">
        <x:v>-</x:v>
      </x:c>
      <x:c r="H46" t="s">
        <x:v>258</x:v>
      </x:c>
      <x:c r="I46" t="s">
        <x:v>325</x:v>
      </x:c>
      <x:c r="J46" t="s">
        <x:v>326</x:v>
      </x:c>
      <x:c r="K46" t="s">
        <x:v>327</x:v>
      </x:c>
      <x:c r="L46" t="s">
        <x:v>328</x:v>
      </x:c>
      <x:c r="M46" t="s">
        <x:v>25</x:v>
      </x:c>
      <x:c r="N46" t="s">
        <x:v>329</x:v>
      </x:c>
      <x:c r="O46" t="s">
        <x:v>330</x:v>
      </x:c>
      <x:c r="P46" t="s">
        <x:v>24</x:v>
      </x:c>
      <x:c r="Q46" s="36"/>
      <x:c r="R46" s="36"/>
      <x:c r="S46" s="37"/>
      <x:c r="T46" s="38"/>
      <x:c r="U46" s="37"/>
      <x:c r="V46" s="38"/>
      <x:c r="W46" s="38"/>
      <x:c r="X46" s="37"/>
      <x:c r="Y46" s="38"/>
      <x:c r="Z46" s="36"/>
      <x:c r="AA46" s="36"/>
      <x:c r="AB46" s="39"/>
      <x:c r="AC46" s="40"/>
      <x:c r="AD46" s="36"/>
      <x:c r="AE46" s="38"/>
      <x:c r="AF46" s="38"/>
      <x:c r="AG46" s="198"/>
      <x:c r="AH46" s="214" t="n">
        <x:f>IF(OR(J46="",J46="-"),"",LEN(J46)-LEN(SUBSTITUTE(J46,",",""))+1)</x:f>
        <x:v>4</x:v>
      </x:c>
      <x:c r="AI46" s="493"/>
    </x:row>
    <x:row r="47">
      <x:c r="A47">
        <x:v>46</x:v>
      </x:c>
      <x:c r="B47" t="s">
        <x:v>331</x:v>
      </x:c>
      <x:c r="C47" t="s">
        <x:v>332</x:v>
      </x:c>
      <x:c r="D47" s="5" t="s">
        <x:v>333</x:v>
      </x:c>
      <x:c r="E47">
        <x:v>2.5</x:v>
      </x:c>
      <x:c r="F47" t="s">
        <x:v>19</x:v>
      </x:c>
      <x:c r="G47" t="str">
        <x:v>-</x:v>
      </x:c>
      <x:c r="H47" t="s">
        <x:v>334</x:v>
      </x:c>
      <x:c r="I47" t="s">
        <x:v>335</x:v>
      </x:c>
      <x:c r="J47" t="s">
        <x:v>336</x:v>
      </x:c>
      <x:c r="K47" t="s">
        <x:v>337</x:v>
      </x:c>
      <x:c r="L47" t="s">
        <x:v>338</x:v>
      </x:c>
      <x:c r="M47" t="s">
        <x:v>25</x:v>
      </x:c>
      <x:c r="N47" t="s">
        <x:v>339</x:v>
      </x:c>
      <x:c r="O47" t="s">
        <x:v>340</x:v>
      </x:c>
      <x:c r="P47" t="s">
        <x:v>24</x:v>
      </x:c>
      <x:c r="Q47" s="36"/>
      <x:c r="R47" s="36"/>
      <x:c r="S47" s="37"/>
      <x:c r="T47" s="38"/>
      <x:c r="U47" s="37"/>
      <x:c r="V47" s="38"/>
      <x:c r="W47" s="38"/>
      <x:c r="X47" s="37"/>
      <x:c r="Y47" s="38"/>
      <x:c r="Z47" s="36"/>
      <x:c r="AA47" s="36"/>
      <x:c r="AB47" s="39"/>
      <x:c r="AC47" s="40"/>
      <x:c r="AD47" s="36"/>
      <x:c r="AE47" s="38"/>
      <x:c r="AF47" s="38"/>
      <x:c r="AG47" s="198"/>
      <x:c r="AH47" s="214" t="n">
        <x:f>IF(OR(J47="",J47="-"),"",LEN(J47)-LEN(SUBSTITUTE(J47,",",""))+1)</x:f>
        <x:v>4</x:v>
      </x:c>
      <x:c r="AI47" s="493"/>
    </x:row>
    <x:row r="48" ht="49.75" customHeight="1">
      <x:c r="A48">
        <x:v>47</x:v>
      </x:c>
      <x:c r="B48" t="s">
        <x:v>341</x:v>
      </x:c>
      <x:c r="C48" t="s">
        <x:v>342</x:v>
      </x:c>
      <x:c r="D48" s="2" t="s">
        <x:v>343</x:v>
      </x:c>
      <x:c r="E48">
        <x:v>2</x:v>
      </x:c>
      <x:c r="F48" t="s">
        <x:v>19</x:v>
      </x:c>
      <x:c r="G48" t="str">
        <x:v>-</x:v>
      </x:c>
      <x:c r="H48" t="s">
        <x:v>258</x:v>
      </x:c>
      <x:c r="I48" t="s">
        <x:v>344</x:v>
      </x:c>
      <x:c r="J48" t="s">
        <x:v>300</x:v>
      </x:c>
      <x:c r="K48" t="s">
        <x:v>345</x:v>
      </x:c>
      <x:c r="L48" t="s">
        <x:v>342</x:v>
      </x:c>
      <x:c r="M48" t="s">
        <x:v>25</x:v>
      </x:c>
      <x:c r="N48" t="s">
        <x:v>346</x:v>
      </x:c>
      <x:c r="O48" t="s">
        <x:v>347</x:v>
      </x:c>
      <x:c r="P48" t="s">
        <x:v>24</x:v>
      </x:c>
      <x:c r="Q48" s="36"/>
      <x:c r="R48" s="36"/>
      <x:c r="S48" s="37"/>
      <x:c r="T48" s="38"/>
      <x:c r="U48" s="37"/>
      <x:c r="V48" s="38"/>
      <x:c r="W48" s="38"/>
      <x:c r="X48" s="37"/>
      <x:c r="Y48" s="38"/>
      <x:c r="Z48" s="36"/>
      <x:c r="AA48" s="36"/>
      <x:c r="AB48" s="39"/>
      <x:c r="AC48" s="40"/>
      <x:c r="AD48" s="36"/>
      <x:c r="AE48" s="38"/>
      <x:c r="AF48" s="38"/>
      <x:c r="AG48" s="198"/>
      <x:c r="AH48" s="214" t="n">
        <x:f>IF(OR(J48="",J48="-"),"",LEN(J48)-LEN(SUBSTITUTE(J48,",",""))+1)</x:f>
        <x:v>1</x:v>
      </x:c>
      <x:c r="AI48" s="493"/>
    </x:row>
    <x:row r="49">
      <x:c r="A49">
        <x:v>48</x:v>
      </x:c>
      <x:c r="B49" t="s">
        <x:v>341</x:v>
      </x:c>
      <x:c r="C49" t="s">
        <x:v>342</x:v>
      </x:c>
      <x:c r="D49" s="2" t="s">
        <x:v>343</x:v>
      </x:c>
      <x:c r="E49">
        <x:v>2</x:v>
      </x:c>
      <x:c r="F49" t="s">
        <x:v>19</x:v>
      </x:c>
      <x:c r="G49" t="str">
        <x:v>-</x:v>
      </x:c>
      <x:c r="H49" t="s">
        <x:v>258</x:v>
      </x:c>
      <x:c r="I49" t="s">
        <x:v>348</x:v>
      </x:c>
      <x:c r="J49" t="s">
        <x:v>349</x:v>
      </x:c>
      <x:c r="K49" t="s">
        <x:v>350</x:v>
      </x:c>
      <x:c r="L49" t="s">
        <x:v>342</x:v>
      </x:c>
      <x:c r="M49" t="s">
        <x:v>25</x:v>
      </x:c>
      <x:c r="N49" t="s">
        <x:v>346</x:v>
      </x:c>
      <x:c r="O49" t="s">
        <x:v>351</x:v>
      </x:c>
      <x:c r="P49" t="s">
        <x:v>24</x:v>
      </x:c>
      <x:c r="Q49" s="36"/>
      <x:c r="R49" s="36"/>
      <x:c r="S49" s="37"/>
      <x:c r="T49" s="38"/>
      <x:c r="U49" s="37"/>
      <x:c r="V49" s="38"/>
      <x:c r="W49" s="38"/>
      <x:c r="X49" s="37"/>
      <x:c r="Y49" s="38"/>
      <x:c r="Z49" s="36"/>
      <x:c r="AA49" s="36"/>
      <x:c r="AB49" s="39"/>
      <x:c r="AC49" s="40"/>
      <x:c r="AD49" s="36"/>
      <x:c r="AE49" s="38"/>
      <x:c r="AF49" s="38"/>
      <x:c r="AG49" s="198"/>
      <x:c r="AH49" s="214" t="n">
        <x:f>IF(OR(J49="",J49="-"),"",LEN(J49)-LEN(SUBSTITUTE(J49,",",""))+1)</x:f>
        <x:v>2</x:v>
      </x:c>
      <x:c r="AI49" s="493"/>
    </x:row>
    <x:row r="50" ht="34">
      <x:c r="A50">
        <x:v>49</x:v>
      </x:c>
      <x:c r="B50" t="s">
        <x:v>352</x:v>
      </x:c>
      <x:c r="C50" t="s">
        <x:v>353</x:v>
      </x:c>
      <x:c r="D50" s="3" t="s">
        <x:v>354</x:v>
      </x:c>
      <x:c r="E50">
        <x:v>1</x:v>
      </x:c>
      <x:c r="F50" t="s">
        <x:v>19</x:v>
      </x:c>
      <x:c r="G50" t="str">
        <x:v>-</x:v>
      </x:c>
      <x:c r="H50" t="s">
        <x:v>355</x:v>
      </x:c>
      <x:c r="I50" t="s">
        <x:v>356</x:v>
      </x:c>
      <x:c r="J50" t="s">
        <x:v>357</x:v>
      </x:c>
      <x:c r="K50" t="s">
        <x:v>358</x:v>
      </x:c>
      <x:c r="L50" s="6" t="s">
        <x:v>359</x:v>
      </x:c>
      <x:c r="M50" t="s">
        <x:v>25</x:v>
      </x:c>
      <x:c r="N50" t="s">
        <x:v>360</x:v>
      </x:c>
      <x:c r="O50" t="s">
        <x:v>361</x:v>
      </x:c>
      <x:c r="P50" t="s">
        <x:v>362</x:v>
      </x:c>
      <x:c r="Q50" s="36"/>
      <x:c r="R50" s="36"/>
      <x:c r="S50" s="37"/>
      <x:c r="T50" s="38"/>
      <x:c r="U50" s="37"/>
      <x:c r="V50" s="38"/>
      <x:c r="W50" s="38"/>
      <x:c r="X50" s="37"/>
      <x:c r="Y50" s="38"/>
      <x:c r="Z50" s="36"/>
      <x:c r="AA50" s="36"/>
      <x:c r="AB50" s="39"/>
      <x:c r="AC50" s="40"/>
      <x:c r="AD50" s="36"/>
      <x:c r="AE50" s="38"/>
      <x:c r="AF50" s="38"/>
      <x:c r="AG50" s="198"/>
      <x:c r="AH50" s="214" t="n">
        <x:f>IF(OR(J50="",J50="-"),"",LEN(J50)-LEN(SUBSTITUTE(J50,",",""))+1)</x:f>
        <x:v>3</x:v>
      </x:c>
      <x:c r="AI50" s="493"/>
    </x:row>
    <x:row r="51">
      <x:c r="A51">
        <x:v>50</x:v>
      </x:c>
      <x:c r="B51" t="s">
        <x:v>363</x:v>
      </x:c>
      <x:c r="C51" t="s">
        <x:v>364</x:v>
      </x:c>
      <x:c r="D51" s="5">
        <x:v>46205</x:v>
      </x:c>
      <x:c r="E51">
        <x:v>1</x:v>
      </x:c>
      <x:c r="F51" t="s">
        <x:v>19</x:v>
      </x:c>
      <x:c r="G51" t="str">
        <x:v>1st Place — US$1,000 OpenRouter Credits</x:v>
      </x:c>
      <x:c r="H51" t="s">
        <x:v>365</x:v>
      </x:c>
      <x:c r="I51" t="s">
        <x:v>366</x:v>
      </x:c>
      <x:c r="J51" t="s">
        <x:v>367</x:v>
      </x:c>
      <x:c r="K51" t="s">
        <x:v>368</x:v>
      </x:c>
      <x:c r="L51" t="s">
        <x:v>369</x:v>
      </x:c>
      <x:c r="M51" t="s">
        <x:v>25</x:v>
      </x:c>
      <x:c r="N51" t="s">
        <x:v>308</x:v>
      </x:c>
      <x:c r="O51" t="s">
        <x:v>370</x:v>
      </x:c>
      <x:c r="P51" t="s">
        <x:v>371</x:v>
      </x:c>
      <x:c r="Q51" s="36" t="str">
        <x:v>1st Prize</x:v>
      </x:c>
      <x:c r="R51" s="36"/>
      <x:c r="S51" s="37"/>
      <x:c r="T51" s="38"/>
      <x:c r="U51" s="37" t="n">
        <x:v>1000</x:v>
      </x:c>
      <x:c r="V51" s="38" t="str">
        <x:v>USD</x:v>
      </x:c>
      <x:c r="W51" s="38"/>
      <x:c r="X51" s="37"/>
      <x:c r="Y51" s="38"/>
      <x:c r="Z51" s="36" t="str">
        <x:v>OpenRouter credits</x:v>
      </x:c>
      <x:c r="AA51" s="36"/>
      <x:c r="AB51" s="39"/>
      <x:c r="AC51" s="40"/>
      <x:c r="AD51" s="36"/>
      <x:c r="AE51" s="38" t="str">
        <x:v>Exclude</x:v>
      </x:c>
      <x:c r="AF51" s="38" t="str">
        <x:v>API credits, not cash</x:v>
      </x:c>
      <x:c r="AG51" s="198" t="str">
        <x:f>G51</x:f>
        <x:v>1st Place — US$1,000 OpenRouter Credits</x:v>
      </x:c>
      <x:c r="AH51" s="214" t="n">
        <x:f>IF(OR(J51="",J51="-"),"",LEN(J51)-LEN(SUBSTITUTE(J51,",",""))+1)</x:f>
        <x:v>3</x:v>
      </x:c>
      <x:c r="AI51" s="493" t="str">
        <x:v>Per Team</x:v>
      </x:c>
    </x:row>
    <x:row r="52">
      <x:c r="A52">
        <x:v>51</x:v>
      </x:c>
      <x:c r="B52" t="s">
        <x:v>363</x:v>
      </x:c>
      <x:c r="C52" t="s">
        <x:v>364</x:v>
      </x:c>
      <x:c r="D52" s="5">
        <x:v>46205</x:v>
      </x:c>
      <x:c r="E52">
        <x:v>1</x:v>
      </x:c>
      <x:c r="F52" t="s">
        <x:v>19</x:v>
      </x:c>
      <x:c r="G52" t="str">
        <x:v>-</x:v>
      </x:c>
      <x:c r="H52" t="s">
        <x:v>365</x:v>
      </x:c>
      <x:c r="I52" t="s">
        <x:v>372</x:v>
      </x:c>
      <x:c r="J52" t="s">
        <x:v>367</x:v>
      </x:c>
      <x:c r="K52" t="s">
        <x:v>373</x:v>
      </x:c>
      <x:c r="L52" t="s">
        <x:v>369</x:v>
      </x:c>
      <x:c r="M52" t="s">
        <x:v>25</x:v>
      </x:c>
      <x:c r="N52" t="s">
        <x:v>308</x:v>
      </x:c>
      <x:c r="O52" t="s">
        <x:v>374</x:v>
      </x:c>
      <x:c r="P52" t="s">
        <x:v>371</x:v>
      </x:c>
      <x:c r="Q52" s="36"/>
      <x:c r="R52" s="36"/>
      <x:c r="S52" s="37"/>
      <x:c r="T52" s="38"/>
      <x:c r="U52" s="37"/>
      <x:c r="V52" s="38"/>
      <x:c r="W52" s="38"/>
      <x:c r="X52" s="37"/>
      <x:c r="Y52" s="38"/>
      <x:c r="Z52" s="36"/>
      <x:c r="AA52" s="36"/>
      <x:c r="AB52" s="39"/>
      <x:c r="AC52" s="40"/>
      <x:c r="AD52" s="36"/>
      <x:c r="AE52" s="38"/>
      <x:c r="AF52" s="38"/>
      <x:c r="AG52" s="198"/>
      <x:c r="AH52" s="214" t="n">
        <x:f>IF(OR(J52="",J52="-"),"",LEN(J52)-LEN(SUBSTITUTE(J52,",",""))+1)</x:f>
        <x:v>3</x:v>
      </x:c>
      <x:c r="AI52" s="493"/>
    </x:row>
    <x:row r="53">
      <x:c r="A53">
        <x:v>52</x:v>
      </x:c>
      <x:c r="B53" t="s">
        <x:v>375</x:v>
      </x:c>
      <x:c r="C53" t="s">
        <x:v>364</x:v>
      </x:c>
      <x:c r="D53" s="2" t="s">
        <x:v>376</x:v>
      </x:c>
      <x:c r="E53">
        <x:v>1</x:v>
      </x:c>
      <x:c r="F53" t="s">
        <x:v>19</x:v>
      </x:c>
      <x:c r="G53" t="str">
        <x:v>1st Place — US$500 API Credits</x:v>
      </x:c>
      <x:c r="H53" t="s">
        <x:v>365</x:v>
      </x:c>
      <x:c r="I53" t="s">
        <x:v>377</x:v>
      </x:c>
      <x:c r="J53" t="s">
        <x:v>357</x:v>
      </x:c>
      <x:c r="K53" t="s">
        <x:v>378</x:v>
      </x:c>
      <x:c r="L53" t="s">
        <x:v>379</x:v>
      </x:c>
      <x:c r="M53" t="s">
        <x:v>25</x:v>
      </x:c>
      <x:c r="N53" t="s">
        <x:v>42</x:v>
      </x:c>
      <x:c r="O53" t="s">
        <x:v>380</x:v>
      </x:c>
      <x:c r="P53" t="s">
        <x:v>381</x:v>
      </x:c>
      <x:c r="Q53" s="36" t="str">
        <x:v>1st Prize</x:v>
      </x:c>
      <x:c r="R53" s="36"/>
      <x:c r="S53" s="37"/>
      <x:c r="T53" s="38"/>
      <x:c r="U53" s="37" t="n">
        <x:v>500</x:v>
      </x:c>
      <x:c r="V53" s="38" t="str">
        <x:v>USD</x:v>
      </x:c>
      <x:c r="W53" s="38"/>
      <x:c r="X53" s="37"/>
      <x:c r="Y53" s="38"/>
      <x:c r="Z53" s="36" t="str">
        <x:v>API credits</x:v>
      </x:c>
      <x:c r="AA53" s="36"/>
      <x:c r="AB53" s="39"/>
      <x:c r="AC53" s="40"/>
      <x:c r="AD53" s="36"/>
      <x:c r="AE53" s="38" t="str">
        <x:v>Exclude</x:v>
      </x:c>
      <x:c r="AF53" s="38" t="str">
        <x:v>API credits, not cash</x:v>
      </x:c>
      <x:c r="AG53" s="198" t="str">
        <x:f>G53</x:f>
        <x:v>1st Place — US$500 API Credits</x:v>
      </x:c>
      <x:c r="AH53" s="214" t="n">
        <x:f>IF(OR(J53="",J53="-"),"",LEN(J53)-LEN(SUBSTITUTE(J53,",",""))+1)</x:f>
        <x:v>3</x:v>
      </x:c>
      <x:c r="AI53" s="493" t="str">
        <x:v>Per Team</x:v>
      </x:c>
    </x:row>
    <x:row r="54">
      <x:c r="A54">
        <x:v>53</x:v>
      </x:c>
      <x:c r="B54" t="s">
        <x:v>375</x:v>
      </x:c>
      <x:c r="C54" t="s">
        <x:v>364</x:v>
      </x:c>
      <x:c r="D54" s="2" t="s">
        <x:v>376</x:v>
      </x:c>
      <x:c r="E54">
        <x:v>1</x:v>
      </x:c>
      <x:c r="F54" t="s">
        <x:v>19</x:v>
      </x:c>
      <x:c r="G54" t="str">
        <x:v>1st Place — US$500 API Credits</x:v>
      </x:c>
      <x:c r="H54" t="s">
        <x:v>365</x:v>
      </x:c>
      <x:c r="I54" t="s">
        <x:v>382</x:v>
      </x:c>
      <x:c r="J54" t="s">
        <x:v>357</x:v>
      </x:c>
      <x:c r="K54" t="s">
        <x:v>383</x:v>
      </x:c>
      <x:c r="L54" t="s">
        <x:v>384</x:v>
      </x:c>
      <x:c r="M54" t="s">
        <x:v>25</x:v>
      </x:c>
      <x:c r="N54" t="s">
        <x:v>42</x:v>
      </x:c>
      <x:c r="O54" t="s">
        <x:v>385</x:v>
      </x:c>
      <x:c r="P54" t="s">
        <x:v>381</x:v>
      </x:c>
      <x:c r="Q54" s="36" t="str">
        <x:v>1st Prize</x:v>
      </x:c>
      <x:c r="R54" s="36"/>
      <x:c r="S54" s="37"/>
      <x:c r="T54" s="38"/>
      <x:c r="U54" s="37" t="n">
        <x:v>500</x:v>
      </x:c>
      <x:c r="V54" s="38" t="str">
        <x:v>USD</x:v>
      </x:c>
      <x:c r="W54" s="38"/>
      <x:c r="X54" s="37"/>
      <x:c r="Y54" s="38"/>
      <x:c r="Z54" s="36" t="str">
        <x:v>API credits</x:v>
      </x:c>
      <x:c r="AA54" s="36"/>
      <x:c r="AB54" s="39"/>
      <x:c r="AC54" s="40"/>
      <x:c r="AD54" s="36"/>
      <x:c r="AE54" s="38" t="str">
        <x:v>Exclude</x:v>
      </x:c>
      <x:c r="AF54" s="38" t="str">
        <x:v>API credits, not cash</x:v>
      </x:c>
      <x:c r="AG54" s="198" t="str">
        <x:f>G54</x:f>
        <x:v>1st Place — US$500 API Credits</x:v>
      </x:c>
      <x:c r="AH54" s="214" t="n">
        <x:f>IF(OR(J54="",J54="-"),"",LEN(J54)-LEN(SUBSTITUTE(J54,",",""))+1)</x:f>
        <x:v>3</x:v>
      </x:c>
      <x:c r="AI54" s="493" t="str">
        <x:v>Per Team</x:v>
      </x:c>
    </x:row>
    <x:row r="55" ht="34">
      <x:c r="A55">
        <x:v>54</x:v>
      </x:c>
      <x:c r="B55" t="s">
        <x:v>386</x:v>
      </x:c>
      <x:c r="C55" s="6" t="s">
        <x:v>387</x:v>
      </x:c>
      <x:c r="D55" s="2" t="s">
        <x:v>388</x:v>
      </x:c>
      <x:c r="E55">
        <x:v>1</x:v>
      </x:c>
      <x:c r="F55" t="s">
        <x:v>19</x:v>
      </x:c>
      <x:c r="G55" t="str">
        <x:v>1st Place — US$150 Wavespeed AI Credits</x:v>
      </x:c>
      <x:c r="H55" t="s">
        <x:v>389</x:v>
      </x:c>
      <x:c r="I55" s="6" t="s">
        <x:v>390</x:v>
      </x:c>
      <x:c r="J55" t="s">
        <x:v>391</x:v>
      </x:c>
      <x:c r="K55" t="s">
        <x:v>392</x:v>
      </x:c>
      <x:c r="L55" t="s">
        <x:v>24</x:v>
      </x:c>
      <x:c r="M55" t="s">
        <x:v>25</x:v>
      </x:c>
      <x:c r="N55" t="s">
        <x:v>393</x:v>
      </x:c>
      <x:c r="O55" t="s">
        <x:v>24</x:v>
      </x:c>
      <x:c r="P55" t="s">
        <x:v>394</x:v>
      </x:c>
      <x:c r="Q55" s="36" t="str">
        <x:v>1st Prize</x:v>
      </x:c>
      <x:c r="R55" s="36"/>
      <x:c r="S55" s="37"/>
      <x:c r="T55" s="38"/>
      <x:c r="U55" s="37" t="n">
        <x:v>150</x:v>
      </x:c>
      <x:c r="V55" s="38" t="str">
        <x:v>USD</x:v>
      </x:c>
      <x:c r="W55" s="38"/>
      <x:c r="X55" s="37"/>
      <x:c r="Y55" s="38"/>
      <x:c r="Z55" s="36" t="str">
        <x:v>Wavespeed AI credits</x:v>
      </x:c>
      <x:c r="AA55" s="36"/>
      <x:c r="AB55" s="39"/>
      <x:c r="AC55" s="40"/>
      <x:c r="AD55" s="36"/>
      <x:c r="AE55" s="38" t="str">
        <x:v>Exclude</x:v>
      </x:c>
      <x:c r="AF55" s="38" t="str">
        <x:v>API credits, not cash</x:v>
      </x:c>
      <x:c r="AG55" s="198" t="str">
        <x:f>G55</x:f>
        <x:v>1st Place — US$150 Wavespeed AI Credits</x:v>
      </x:c>
      <x:c r="AH55" s="214" t="n">
        <x:f>IF(OR(J55="",J55="-"),"",LEN(J55)-LEN(SUBSTITUTE(J55,",",""))+1)</x:f>
        <x:v>3</x:v>
      </x:c>
      <x:c r="AI55" s="493" t="str">
        <x:v>Per Team</x:v>
      </x:c>
    </x:row>
    <x:row r="56" ht="17">
      <x:c r="A56">
        <x:v>55</x:v>
      </x:c>
      <x:c r="B56" t="s">
        <x:v>395</x:v>
      </x:c>
      <x:c r="C56" t="s">
        <x:v>396</x:v>
      </x:c>
      <x:c r="D56" s="2" t="s">
        <x:v>397</x:v>
      </x:c>
      <x:c r="E56">
        <x:v>1</x:v>
      </x:c>
      <x:c r="F56" t="s">
        <x:v>19</x:v>
      </x:c>
      <x:c r="G56" t="str">
        <x:v>-</x:v>
      </x:c>
      <x:c r="H56" t="s">
        <x:v>389</x:v>
      </x:c>
      <x:c r="I56" s="6" t="s">
        <x:v>398</x:v>
      </x:c>
      <x:c r="J56" t="s">
        <x:v>391</x:v>
      </x:c>
      <x:c r="K56" t="s">
        <x:v>399</x:v>
      </x:c>
      <x:c r="L56" t="s">
        <x:v>24</x:v>
      </x:c>
      <x:c r="M56" t="s">
        <x:v>25</x:v>
      </x:c>
      <x:c r="N56" t="s">
        <x:v>42</x:v>
      </x:c>
      <x:c r="O56" t="s">
        <x:v>24</x:v>
      </x:c>
      <x:c r="P56" t="s">
        <x:v>400</x:v>
      </x:c>
      <x:c r="Q56" s="36"/>
      <x:c r="R56" s="36"/>
      <x:c r="S56" s="37"/>
      <x:c r="T56" s="38"/>
      <x:c r="U56" s="37"/>
      <x:c r="V56" s="38"/>
      <x:c r="W56" s="38"/>
      <x:c r="X56" s="37"/>
      <x:c r="Y56" s="38"/>
      <x:c r="Z56" s="36"/>
      <x:c r="AA56" s="36"/>
      <x:c r="AB56" s="39"/>
      <x:c r="AC56" s="40"/>
      <x:c r="AD56" s="36"/>
      <x:c r="AE56" s="38"/>
      <x:c r="AF56" s="38"/>
      <x:c r="AG56" s="198"/>
      <x:c r="AH56" s="214" t="n">
        <x:f>IF(OR(J56="",J56="-"),"",LEN(J56)-LEN(SUBSTITUTE(J56,",",""))+1)</x:f>
        <x:v>3</x:v>
      </x:c>
      <x:c r="AI56" s="493"/>
    </x:row>
    <x:row r="57">
      <x:c r="A57">
        <x:v>56</x:v>
      </x:c>
      <x:c r="B57" t="s">
        <x:v>401</x:v>
      </x:c>
      <x:c r="C57" t="s">
        <x:v>402</x:v>
      </x:c>
      <x:c r="D57" s="5">
        <x:v>46207</x:v>
      </x:c>
      <x:c r="E57">
        <x:v>1</x:v>
      </x:c>
      <x:c r="F57" t="s">
        <x:v>19</x:v>
      </x:c>
      <x:c r="G57" t="str">
        <x:v>-</x:v>
      </x:c>
      <x:c r="H57" t="s">
        <x:v>389</x:v>
      </x:c>
      <x:c r="I57" t="s">
        <x:v>403</x:v>
      </x:c>
      <x:c r="J57" t="s">
        <x:v>404</x:v>
      </x:c>
      <x:c r="K57" t="s">
        <x:v>405</x:v>
      </x:c>
      <x:c r="L57" t="s">
        <x:v>24</x:v>
      </x:c>
      <x:c r="M57" t="s">
        <x:v>25</x:v>
      </x:c>
      <x:c r="N57" t="s">
        <x:v>42</x:v>
      </x:c>
      <x:c r="O57" t="s">
        <x:v>406</x:v>
      </x:c>
      <x:c r="P57" t="s">
        <x:v>407</x:v>
      </x:c>
      <x:c r="Q57" s="36"/>
      <x:c r="R57" s="36"/>
      <x:c r="S57" s="37"/>
      <x:c r="T57" s="38"/>
      <x:c r="U57" s="37"/>
      <x:c r="V57" s="38"/>
      <x:c r="W57" s="38"/>
      <x:c r="X57" s="37"/>
      <x:c r="Y57" s="38"/>
      <x:c r="Z57" s="36"/>
      <x:c r="AA57" s="36"/>
      <x:c r="AB57" s="39"/>
      <x:c r="AC57" s="40"/>
      <x:c r="AD57" s="36"/>
      <x:c r="AE57" s="38"/>
      <x:c r="AF57" s="38"/>
      <x:c r="AG57" s="198"/>
      <x:c r="AH57" s="214" t="n">
        <x:f>IF(OR(J57="",J57="-"),"",LEN(J57)-LEN(SUBSTITUTE(J57,",",""))+1)</x:f>
        <x:v>1</x:v>
      </x:c>
      <x:c r="AI57" s="493"/>
    </x:row>
    <x:row r="58">
      <x:c r="A58">
        <x:v>57</x:v>
      </x:c>
      <x:c r="B58" t="s">
        <x:v>408</x:v>
      </x:c>
      <x:c r="C58" t="s">
        <x:v>409</x:v>
      </x:c>
      <x:c r="D58" s="5">
        <x:v>46299</x:v>
      </x:c>
      <x:c r="E58">
        <x:v>1</x:v>
      </x:c>
      <x:c r="F58" t="s">
        <x:v>19</x:v>
      </x:c>
      <x:c r="G58" t="str">
        <x:v>3rd Place — S$300 Cash + S$385 API Credits</x:v>
      </x:c>
      <x:c r="H58" t="s">
        <x:v>410</x:v>
      </x:c>
      <x:c r="I58" t="s">
        <x:v>411</x:v>
      </x:c>
      <x:c r="J58" t="s">
        <x:v>300</x:v>
      </x:c>
      <x:c r="K58" t="s">
        <x:v>412</x:v>
      </x:c>
      <x:c r="L58" t="s">
        <x:v>24</x:v>
      </x:c>
      <x:c r="M58" t="s">
        <x:v>25</x:v>
      </x:c>
      <x:c r="N58" t="s">
        <x:v>413</x:v>
      </x:c>
      <x:c r="O58" t="s">
        <x:v>414</x:v>
      </x:c>
      <x:c r="P58" t="s">
        <x:v>415</x:v>
      </x:c>
      <x:c r="Q58" s="36" t="str">
        <x:v>3rd Prize</x:v>
      </x:c>
      <x:c r="R58" s="36"/>
      <x:c r="S58" s="37" t="n">
        <x:v>300</x:v>
      </x:c>
      <x:c r="T58" s="38" t="str">
        <x:v>SGD</x:v>
      </x:c>
      <x:c r="U58" s="37" t="n">
        <x:v>385</x:v>
      </x:c>
      <x:c r="V58" s="38" t="str">
        <x:v>SGD</x:v>
      </x:c>
      <x:c r="W58" s="38"/>
      <x:c r="X58" s="37"/>
      <x:c r="Y58" s="38"/>
      <x:c r="Z58" s="36" t="str">
        <x:v>API credits</x:v>
      </x:c>
      <x:c r="AA58" s="36"/>
      <x:c r="AB58" s="39"/>
      <x:c r="AC58" s="40"/>
      <x:c r="AD58" s="36"/>
      <x:c r="AE58" s="38" t="str">
        <x:v>Yes</x:v>
      </x:c>
      <x:c r="AF58" s="38" t="str">
        <x:v>Explicit cash; API credit value also tracked</x:v>
      </x:c>
      <x:c r="AG58" s="198" t="str">
        <x:f>G58</x:f>
        <x:v>3rd Place — S$300 Cash + S$385 API Credits</x:v>
      </x:c>
      <x:c r="AH58" s="214" t="n">
        <x:f>IF(OR(J58="",J58="-"),"",LEN(J58)-LEN(SUBSTITUTE(J58,",",""))+1)</x:f>
        <x:v>1</x:v>
      </x:c>
      <x:c r="AI58" s="493" t="str">
        <x:v>Per Team</x:v>
      </x:c>
    </x:row>
    <x:row r="59">
      <x:c r="A59">
        <x:v>58</x:v>
      </x:c>
      <x:c r="B59" t="s">
        <x:v>416</x:v>
      </x:c>
      <x:c r="C59" t="s">
        <x:v>417</x:v>
      </x:c>
      <x:c r="D59" s="2" t="s">
        <x:v>418</x:v>
      </x:c>
      <x:c r="E59">
        <x:v>1</x:v>
      </x:c>
      <x:c r="F59" t="s">
        <x:v>19</x:v>
      </x:c>
      <x:c r="G59" t="str">
        <x:v>-</x:v>
      </x:c>
      <x:c r="H59" t="s">
        <x:v>134</x:v>
      </x:c>
      <x:c r="I59" t="s">
        <x:v>419</x:v>
      </x:c>
      <x:c r="J59" t="s">
        <x:v>420</x:v>
      </x:c>
      <x:c r="K59" t="s">
        <x:v>421</x:v>
      </x:c>
      <x:c r="L59" t="s">
        <x:v>422</x:v>
      </x:c>
      <x:c r="M59" t="s">
        <x:v>25</x:v>
      </x:c>
      <x:c r="N59" t="s">
        <x:v>42</x:v>
      </x:c>
      <x:c r="O59" t="s">
        <x:v>423</x:v>
      </x:c>
      <x:c r="P59" t="s">
        <x:v>424</x:v>
      </x:c>
      <x:c r="Q59" s="36"/>
      <x:c r="R59" s="36"/>
      <x:c r="S59" s="37"/>
      <x:c r="T59" s="38"/>
      <x:c r="U59" s="37"/>
      <x:c r="V59" s="38"/>
      <x:c r="W59" s="38"/>
      <x:c r="X59" s="37"/>
      <x:c r="Y59" s="38"/>
      <x:c r="Z59" s="36"/>
      <x:c r="AA59" s="36"/>
      <x:c r="AB59" s="39"/>
      <x:c r="AC59" s="40"/>
      <x:c r="AD59" s="36"/>
      <x:c r="AE59" s="38"/>
      <x:c r="AF59" s="38"/>
      <x:c r="AG59" s="198"/>
      <x:c r="AH59" s="214" t="n">
        <x:f>IF(OR(J59="",J59="-"),"",LEN(J59)-LEN(SUBSTITUTE(J59,",",""))+1)</x:f>
        <x:v>3</x:v>
      </x:c>
      <x:c r="AI59" s="493"/>
    </x:row>
    <x:row r="60">
      <x:c r="A60">
        <x:v>59</x:v>
      </x:c>
      <x:c r="B60" t="s">
        <x:v>425</x:v>
      </x:c>
      <x:c r="C60" t="s">
        <x:v>426</x:v>
      </x:c>
      <x:c r="D60" s="2" t="s">
        <x:v>427</x:v>
      </x:c>
      <x:c r="E60">
        <x:v>1</x:v>
      </x:c>
      <x:c r="F60" t="s">
        <x:v>19</x:v>
      </x:c>
      <x:c r="G60" t="str">
        <x:v>-</x:v>
      </x:c>
      <x:c r="H60" t="s">
        <x:v>428</x:v>
      </x:c>
      <x:c r="I60" t="s">
        <x:v>429</x:v>
      </x:c>
      <x:c r="J60" t="s">
        <x:v>430</x:v>
      </x:c>
      <x:c r="K60" t="s">
        <x:v>431</x:v>
      </x:c>
      <x:c r="L60" t="s">
        <x:v>24</x:v>
      </x:c>
      <x:c r="M60" t="s">
        <x:v>25</x:v>
      </x:c>
      <x:c r="N60" t="s">
        <x:v>432</x:v>
      </x:c>
      <x:c r="O60" t="s">
        <x:v>433</x:v>
      </x:c>
      <x:c r="P60" t="s">
        <x:v>434</x:v>
      </x:c>
      <x:c r="Q60" s="36"/>
      <x:c r="R60" s="36"/>
      <x:c r="S60" s="37"/>
      <x:c r="T60" s="38"/>
      <x:c r="U60" s="37"/>
      <x:c r="V60" s="38"/>
      <x:c r="W60" s="38"/>
      <x:c r="X60" s="37"/>
      <x:c r="Y60" s="38"/>
      <x:c r="Z60" s="36"/>
      <x:c r="AA60" s="36"/>
      <x:c r="AB60" s="39"/>
      <x:c r="AC60" s="40"/>
      <x:c r="AD60" s="36"/>
      <x:c r="AE60" s="38"/>
      <x:c r="AF60" s="38"/>
      <x:c r="AG60" s="198"/>
      <x:c r="AH60" s="214" t="n">
        <x:f>IF(OR(J60="",J60="-"),"",LEN(J60)-LEN(SUBSTITUTE(J60,",",""))+1)</x:f>
        <x:v>3</x:v>
      </x:c>
      <x:c r="AI60" s="493"/>
    </x:row>
    <x:row r="61">
      <x:c r="A61">
        <x:v>60</x:v>
      </x:c>
      <x:c r="B61" t="s">
        <x:v>435</x:v>
      </x:c>
      <x:c r="C61" t="s">
        <x:v>436</x:v>
      </x:c>
      <x:c r="D61" s="2" t="s">
        <x:v>437</x:v>
      </x:c>
      <x:c r="E61">
        <x:v>1</x:v>
      </x:c>
      <x:c r="F61" t="s">
        <x:v>19</x:v>
      </x:c>
      <x:c r="G61" t="str">
        <x:v>Award — Speechmatics — US$2,000 Speechmatics Credits</x:v>
      </x:c>
      <x:c r="H61" t="s">
        <x:v>438</x:v>
      </x:c>
      <x:c r="I61" t="s">
        <x:v>439</x:v>
      </x:c>
      <x:c r="J61" t="s">
        <x:v>300</x:v>
      </x:c>
      <x:c r="K61" t="s">
        <x:v>440</x:v>
      </x:c>
      <x:c r="L61" t="s">
        <x:v>24</x:v>
      </x:c>
      <x:c r="M61" t="s">
        <x:v>25</x:v>
      </x:c>
      <x:c r="N61" t="s">
        <x:v>441</x:v>
      </x:c>
      <x:c r="O61" t="s">
        <x:v>442</x:v>
      </x:c>
      <x:c r="P61" s="1" t="s">
        <x:v>443</x:v>
      </x:c>
      <x:c r="Q61" s="36" t="str">
        <x:v>Award</x:v>
      </x:c>
      <x:c r="R61" s="36" t="str">
        <x:v>Speechmatics</x:v>
      </x:c>
      <x:c r="S61" s="37"/>
      <x:c r="T61" s="38"/>
      <x:c r="U61" s="37" t="n">
        <x:v>2000</x:v>
      </x:c>
      <x:c r="V61" s="38" t="str">
        <x:v>USD</x:v>
      </x:c>
      <x:c r="W61" s="38"/>
      <x:c r="X61" s="37"/>
      <x:c r="Y61" s="38"/>
      <x:c r="Z61" s="36" t="str">
        <x:v>Speechmatics credits</x:v>
      </x:c>
      <x:c r="AA61" s="36"/>
      <x:c r="AB61" s="39"/>
      <x:c r="AC61" s="40"/>
      <x:c r="AD61" s="36"/>
      <x:c r="AE61" s="38" t="str">
        <x:v>Exclude</x:v>
      </x:c>
      <x:c r="AF61" s="38" t="str">
        <x:v>USD-denominated credit value</x:v>
      </x:c>
      <x:c r="AG61" s="198" t="str">
        <x:f>G61</x:f>
        <x:v>Award — Speechmatics — US$2,000 Speechmatics Credits</x:v>
      </x:c>
      <x:c r="AH61" s="214" t="n">
        <x:f>IF(OR(J61="",J61="-"),"",LEN(J61)-LEN(SUBSTITUTE(J61,",",""))+1)</x:f>
        <x:v>1</x:v>
      </x:c>
      <x:c r="AI61" s="493" t="str">
        <x:v>Per Team</x:v>
      </x:c>
    </x:row>
    <x:row r="62">
      <x:c r="A62">
        <x:v>61</x:v>
      </x:c>
      <x:c r="B62" t="s">
        <x:v>444</x:v>
      </x:c>
      <x:c r="C62" t="s">
        <x:v>445</x:v>
      </x:c>
      <x:c r="D62" s="2" t="s">
        <x:v>446</x:v>
      </x:c>
      <x:c r="E62">
        <x:v>1</x:v>
      </x:c>
      <x:c r="F62" t="s">
        <x:v>19</x:v>
      </x:c>
      <x:c r="G62" t="str">
        <x:v>2nd Place — v0 Sock</x:v>
      </x:c>
      <x:c r="H62" t="s">
        <x:v>447</x:v>
      </x:c>
      <x:c r="I62" t="s">
        <x:v>448</x:v>
      </x:c>
      <x:c r="J62" t="s">
        <x:v>300</x:v>
      </x:c>
      <x:c r="K62" t="s">
        <x:v>449</x:v>
      </x:c>
      <x:c r="L62" t="s">
        <x:v>24</x:v>
      </x:c>
      <x:c r="M62" t="s">
        <x:v>25</x:v>
      </x:c>
      <x:c r="N62" t="s">
        <x:v>279</x:v>
      </x:c>
      <x:c r="O62" t="s">
        <x:v>24</x:v>
      </x:c>
      <x:c r="P62" s="1" t="s">
        <x:v>450</x:v>
      </x:c>
      <x:c r="Q62" s="36" t="str">
        <x:v>2nd Place</x:v>
      </x:c>
      <x:c r="R62" s="36" t="str">
        <x:v>v0 Sock</x:v>
      </x:c>
      <x:c r="S62" s="37"/>
      <x:c r="T62" s="38"/>
      <x:c r="U62" s="37"/>
      <x:c r="V62" s="38"/>
      <x:c r="W62" s="38"/>
      <x:c r="X62" s="37"/>
      <x:c r="Y62" s="38"/>
      <x:c r="Z62" s="36" t="str">
        <x:v>v0 Sock</x:v>
      </x:c>
      <x:c r="AA62" s="36" t="str">
        <x:v>v0 Sock</x:v>
      </x:c>
      <x:c r="AB62" s="39" t="n">
        <x:v>0</x:v>
      </x:c>
      <x:c r="AC62" s="40"/>
      <x:c r="AD62" s="36"/>
      <x:c r="AE62" s="38" t="str">
        <x:v>Exclude</x:v>
      </x:c>
      <x:c r="AF62" s="38" t="str">
        <x:v>Physical item, not cash</x:v>
      </x:c>
      <x:c r="AG62" s="198" t="str">
        <x:f>G62</x:f>
        <x:v>2nd Place — v0 Sock</x:v>
      </x:c>
      <x:c r="AH62" s="214" t="n">
        <x:f>IF(OR(J62="",J62="-"),"",LEN(J62)-LEN(SUBSTITUTE(J62,",",""))+1)</x:f>
        <x:v>1</x:v>
      </x:c>
      <x:c r="AI62" s="493" t="str">
        <x:v>Per Team</x:v>
      </x:c>
    </x:row>
    <x:row r="63">
      <x:c r="A63">
        <x:v>62</x:v>
      </x:c>
      <x:c r="B63" t="s">
        <x:v>451</x:v>
      </x:c>
      <x:c r="C63" t="s">
        <x:v>452</x:v>
      </x:c>
      <x:c r="D63" s="5">
        <x:v>46085</x:v>
      </x:c>
      <x:c r="E63">
        <x:v>1</x:v>
      </x:c>
      <x:c r="F63" t="s">
        <x:v>453</x:v>
      </x:c>
      <x:c r="G63" t="str">
        <x:v>-</x:v>
      </x:c>
      <x:c r="H63" t="s">
        <x:v>389</x:v>
      </x:c>
      <x:c r="I63" t="s">
        <x:v>454</x:v>
      </x:c>
      <x:c r="J63" t="s">
        <x:v>391</x:v>
      </x:c>
      <x:c r="K63" t="s">
        <x:v>455</x:v>
      </x:c>
      <x:c r="L63" t="s">
        <x:v>24</x:v>
      </x:c>
      <x:c r="M63" t="s">
        <x:v>25</x:v>
      </x:c>
      <x:c r="N63" t="s">
        <x:v>456</x:v>
      </x:c>
      <x:c r="O63" t="s">
        <x:v>457</x:v>
      </x:c>
      <x:c r="P63" t="s">
        <x:v>458</x:v>
      </x:c>
      <x:c r="Q63" s="36"/>
      <x:c r="R63" s="36"/>
      <x:c r="S63" s="37"/>
      <x:c r="T63" s="38"/>
      <x:c r="U63" s="37"/>
      <x:c r="V63" s="38"/>
      <x:c r="W63" s="38"/>
      <x:c r="X63" s="37"/>
      <x:c r="Y63" s="38"/>
      <x:c r="Z63" s="36"/>
      <x:c r="AA63" s="36"/>
      <x:c r="AB63" s="39"/>
      <x:c r="AC63" s="40"/>
      <x:c r="AD63" s="36"/>
      <x:c r="AE63" s="38"/>
      <x:c r="AF63" s="38"/>
      <x:c r="AG63" s="198"/>
      <x:c r="AH63" s="214" t="n">
        <x:f>IF(OR(J63="",J63="-"),"",LEN(J63)-LEN(SUBSTITUTE(J63,",",""))+1)</x:f>
        <x:v>3</x:v>
      </x:c>
      <x:c r="AI63" s="493"/>
    </x:row>
    <x:row r="64">
      <x:c r="A64">
        <x:v>63</x:v>
      </x:c>
      <x:c r="B64" t="s">
        <x:v>459</x:v>
      </x:c>
      <x:c r="C64" t="s">
        <x:v>445</x:v>
      </x:c>
      <x:c r="D64" s="5">
        <x:v>46116</x:v>
      </x:c>
      <x:c r="E64">
        <x:v>1</x:v>
      </x:c>
      <x:c r="F64" t="s">
        <x:v>19</x:v>
      </x:c>
      <x:c r="G64" t="str">
        <x:v>-</x:v>
      </x:c>
      <x:c r="H64" t="s">
        <x:v>447</x:v>
      </x:c>
      <x:c r="I64" t="s">
        <x:v>460</x:v>
      </x:c>
      <x:c r="J64" t="s">
        <x:v>300</x:v>
      </x:c>
      <x:c r="K64" t="s">
        <x:v>461</x:v>
      </x:c>
      <x:c r="L64" t="s">
        <x:v>24</x:v>
      </x:c>
      <x:c r="M64" t="s">
        <x:v>25</x:v>
      </x:c>
      <x:c r="N64" t="s">
        <x:v>346</x:v>
      </x:c>
      <x:c r="O64" t="s">
        <x:v>462</x:v>
      </x:c>
      <x:c r="P64" t="s">
        <x:v>463</x:v>
      </x:c>
      <x:c r="Q64" s="36"/>
      <x:c r="R64" s="36"/>
      <x:c r="S64" s="37"/>
      <x:c r="T64" s="38"/>
      <x:c r="U64" s="37"/>
      <x:c r="V64" s="38"/>
      <x:c r="W64" s="38"/>
      <x:c r="X64" s="37"/>
      <x:c r="Y64" s="38"/>
      <x:c r="Z64" s="36"/>
      <x:c r="AA64" s="36"/>
      <x:c r="AB64" s="39"/>
      <x:c r="AC64" s="40"/>
      <x:c r="AD64" s="36"/>
      <x:c r="AE64" s="38"/>
      <x:c r="AF64" s="38"/>
      <x:c r="AG64" s="198"/>
      <x:c r="AH64" s="214" t="n">
        <x:f>IF(OR(J64="",J64="-"),"",LEN(J64)-LEN(SUBSTITUTE(J64,",",""))+1)</x:f>
        <x:v>1</x:v>
      </x:c>
      <x:c r="AI64" s="493"/>
    </x:row>
    <x:row r="65">
      <x:c r="A65">
        <x:v>64</x:v>
      </x:c>
      <x:c r="B65" t="s">
        <x:v>464</x:v>
      </x:c>
      <x:c r="C65" t="s">
        <x:v>465</x:v>
      </x:c>
      <x:c r="D65" s="5">
        <x:v>46270</x:v>
      </x:c>
      <x:c r="E65">
        <x:v>1</x:v>
      </x:c>
      <x:c r="F65" t="s">
        <x:v>19</x:v>
      </x:c>
      <x:c r="G65" t="str">
        <x:v>-</x:v>
      </x:c>
      <x:c r="H65" t="s">
        <x:v>447</x:v>
      </x:c>
      <x:c r="I65" t="s">
        <x:v>466</x:v>
      </x:c>
      <x:c r="J65" t="s">
        <x:v>467</x:v>
      </x:c>
      <x:c r="K65" t="s">
        <x:v>468</x:v>
      </x:c>
      <x:c r="L65" t="s">
        <x:v>24</x:v>
      </x:c>
      <x:c r="M65" t="s">
        <x:v>25</x:v>
      </x:c>
      <x:c r="N65" t="s">
        <x:v>42</x:v>
      </x:c>
      <x:c r="O65" t="s">
        <x:v>469</x:v>
      </x:c>
      <x:c r="P65" t="s">
        <x:v>470</x:v>
      </x:c>
      <x:c r="Q65" s="36"/>
      <x:c r="R65" s="36"/>
      <x:c r="S65" s="37"/>
      <x:c r="T65" s="38"/>
      <x:c r="U65" s="37"/>
      <x:c r="V65" s="38"/>
      <x:c r="W65" s="38"/>
      <x:c r="X65" s="37"/>
      <x:c r="Y65" s="38"/>
      <x:c r="Z65" s="36"/>
      <x:c r="AA65" s="36"/>
      <x:c r="AB65" s="39"/>
      <x:c r="AC65" s="40"/>
      <x:c r="AD65" s="36"/>
      <x:c r="AE65" s="38"/>
      <x:c r="AF65" s="38"/>
      <x:c r="AG65" s="198"/>
      <x:c r="AH65" s="214" t="n">
        <x:f>IF(OR(J65="",J65="-"),"",LEN(J65)-LEN(SUBSTITUTE(J65,",",""))+1)</x:f>
        <x:v>4</x:v>
      </x:c>
      <x:c r="AI65" s="493"/>
    </x:row>
    <x:row r="66">
      <x:c r="A66">
        <x:v>65</x:v>
      </x:c>
      <x:c r="B66" t="s">
        <x:v>471</x:v>
      </x:c>
      <x:c r="C66" t="s">
        <x:v>472</x:v>
      </x:c>
      <x:c r="D66" s="2" t="s">
        <x:v>473</x:v>
      </x:c>
      <x:c r="E66">
        <x:v>1</x:v>
      </x:c>
      <x:c r="F66" t="s">
        <x:v>19</x:v>
      </x:c>
      <x:c r="G66" t="str">
        <x:v>-</x:v>
      </x:c>
      <x:c r="H66" t="s">
        <x:v>365</x:v>
      </x:c>
      <x:c r="I66" t="s">
        <x:v>474</x:v>
      </x:c>
      <x:c r="J66" t="s">
        <x:v>300</x:v>
      </x:c>
      <x:c r="K66" t="s">
        <x:v>475</x:v>
      </x:c>
      <x:c r="L66" t="s">
        <x:v>24</x:v>
      </x:c>
      <x:c r="M66" t="s">
        <x:v>25</x:v>
      </x:c>
      <x:c r="N66" t="s">
        <x:v>476</x:v>
      </x:c>
      <x:c r="O66" t="s">
        <x:v>477</x:v>
      </x:c>
      <x:c r="P66" t="s">
        <x:v>478</x:v>
      </x:c>
      <x:c r="Q66" s="36"/>
      <x:c r="R66" s="36"/>
      <x:c r="S66" s="37"/>
      <x:c r="T66" s="38"/>
      <x:c r="U66" s="37"/>
      <x:c r="V66" s="38"/>
      <x:c r="W66" s="38"/>
      <x:c r="X66" s="37"/>
      <x:c r="Y66" s="38"/>
      <x:c r="Z66" s="36"/>
      <x:c r="AA66" s="36"/>
      <x:c r="AB66" s="39"/>
      <x:c r="AC66" s="40"/>
      <x:c r="AD66" s="36"/>
      <x:c r="AE66" s="38"/>
      <x:c r="AF66" s="38"/>
      <x:c r="AG66" s="198"/>
      <x:c r="AH66" s="214" t="n">
        <x:f>IF(OR(J66="",J66="-"),"",LEN(J66)-LEN(SUBSTITUTE(J66,",",""))+1)</x:f>
        <x:v>1</x:v>
      </x:c>
      <x:c r="AI66" s="493"/>
    </x:row>
    <x:row r="67">
      <x:c r="A67">
        <x:v>66</x:v>
      </x:c>
      <x:c r="B67" t="s">
        <x:v>479</x:v>
      </x:c>
      <x:c r="C67" t="s">
        <x:v>480</x:v>
      </x:c>
      <x:c r="D67" s="2" t="s">
        <x:v>481</x:v>
      </x:c>
      <x:c r="E67">
        <x:v>1</x:v>
      </x:c>
      <x:c r="F67" t="s">
        <x:v>30</x:v>
      </x:c>
      <x:c r="G67" t="str">
        <x:v>Top 20 — US$12,000 Credits (OpenAI + Gemini Cloud)</x:v>
      </x:c>
      <x:c r="H67" t="s">
        <x:v>389</x:v>
      </x:c>
      <x:c r="I67" t="s">
        <x:v>398</x:v>
      </x:c>
      <x:c r="J67" t="s">
        <x:v>482</x:v>
      </x:c>
      <x:c r="K67" t="s">
        <x:v>483</x:v>
      </x:c>
      <x:c r="L67" t="s">
        <x:v>24</x:v>
      </x:c>
      <x:c r="M67" t="s">
        <x:v>25</x:v>
      </x:c>
      <x:c r="N67" t="s">
        <x:v>346</x:v>
      </x:c>
      <x:c r="O67" t="s">
        <x:v>24</x:v>
      </x:c>
      <x:c r="P67" t="s">
        <x:v>24</x:v>
      </x:c>
      <x:c r="Q67" s="36" t="str">
        <x:v>Top 20</x:v>
      </x:c>
      <x:c r="R67" s="36"/>
      <x:c r="S67" s="37"/>
      <x:c r="T67" s="38"/>
      <x:c r="U67" s="37" t="n">
        <x:v>12000</x:v>
      </x:c>
      <x:c r="V67" s="38" t="str">
        <x:v>USD</x:v>
      </x:c>
      <x:c r="W67" s="38"/>
      <x:c r="X67" s="37"/>
      <x:c r="Y67" s="38"/>
      <x:c r="Z67" s="36" t="str">
        <x:v>10K OpenAI credits; 2K Gemini Cloud credits</x:v>
      </x:c>
      <x:c r="AA67" s="36"/>
      <x:c r="AB67" s="39"/>
      <x:c r="AC67" s="40"/>
      <x:c r="AD67" s="36"/>
      <x:c r="AE67" s="38" t="str">
        <x:v>Exclude</x:v>
      </x:c>
      <x:c r="AF67" s="38" t="str">
        <x:v>Credit value total combines two USD-denominated credits</x:v>
      </x:c>
      <x:c r="AG67" s="198" t="str">
        <x:f>G67</x:f>
        <x:v>Top 20 — US$12,000 Credits (OpenAI + Gemini Cloud)</x:v>
      </x:c>
      <x:c r="AH67" s="214" t="n">
        <x:f>IF(OR(J67="",J67="-"),"",LEN(J67)-LEN(SUBSTITUTE(J67,",",""))+1)</x:f>
        <x:v>2</x:v>
      </x:c>
      <x:c r="AI67" s="493" t="str">
        <x:v>Per Team</x:v>
      </x:c>
    </x:row>
    <x:row r="68">
      <x:c r="A68">
        <x:v>67</x:v>
      </x:c>
      <x:c r="B68" t="s">
        <x:v>484</x:v>
      </x:c>
      <x:c r="C68" t="s">
        <x:v>256</x:v>
      </x:c>
      <x:c r="D68" s="2" t="s">
        <x:v>485</x:v>
      </x:c>
      <x:c r="E68">
        <x:v>3</x:v>
      </x:c>
      <x:c r="F68" t="s">
        <x:v>19</x:v>
      </x:c>
      <x:c r="G68" t="str">
        <x:v>-</x:v>
      </x:c>
      <x:c r="H68" t="s">
        <x:v>486</x:v>
      </x:c>
      <x:c r="I68" t="s">
        <x:v>487</x:v>
      </x:c>
      <x:c r="J68" t="s">
        <x:v>488</x:v>
      </x:c>
      <x:c r="K68" t="s">
        <x:v>489</x:v>
      </x:c>
      <x:c r="L68" t="s">
        <x:v>490</x:v>
      </x:c>
      <x:c r="M68" t="s">
        <x:v>25</x:v>
      </x:c>
      <x:c r="N68" t="s">
        <x:v>263</x:v>
      </x:c>
      <x:c r="O68" t="s">
        <x:v>491</x:v>
      </x:c>
      <x:c r="P68" t="s">
        <x:v>24</x:v>
      </x:c>
      <x:c r="Q68" s="36"/>
      <x:c r="R68" s="36"/>
      <x:c r="S68" s="37"/>
      <x:c r="T68" s="38"/>
      <x:c r="U68" s="37"/>
      <x:c r="V68" s="38"/>
      <x:c r="W68" s="38"/>
      <x:c r="X68" s="37"/>
      <x:c r="Y68" s="38"/>
      <x:c r="Z68" s="36"/>
      <x:c r="AA68" s="36"/>
      <x:c r="AB68" s="39"/>
      <x:c r="AC68" s="40"/>
      <x:c r="AD68" s="36"/>
      <x:c r="AE68" s="38"/>
      <x:c r="AF68" s="38"/>
      <x:c r="AG68" s="198"/>
      <x:c r="AH68" s="214" t="n">
        <x:f>IF(OR(J68="",J68="-"),"",LEN(J68)-LEN(SUBSTITUTE(J68,",",""))+1)</x:f>
        <x:v>3</x:v>
      </x:c>
      <x:c r="AI68" s="493"/>
    </x:row>
    <x:row r="69">
      <x:c r="A69">
        <x:v>68</x:v>
      </x:c>
      <x:c r="B69" t="s">
        <x:v>492</x:v>
      </x:c>
      <x:c r="C69" t="s">
        <x:v>480</x:v>
      </x:c>
      <x:c r="D69" s="2" t="s">
        <x:v>493</x:v>
      </x:c>
      <x:c r="E69">
        <x:v>1</x:v>
      </x:c>
      <x:c r="F69" t="s">
        <x:v>19</x:v>
      </x:c>
      <x:c r="G69" t="str">
        <x:v>-</x:v>
      </x:c>
      <x:c r="H69" t="s">
        <x:v>389</x:v>
      </x:c>
      <x:c r="I69" t="s">
        <x:v>398</x:v>
      </x:c>
      <x:c r="J69" t="s">
        <x:v>482</x:v>
      </x:c>
      <x:c r="K69" t="s">
        <x:v>494</x:v>
      </x:c>
      <x:c r="L69" t="s">
        <x:v>24</x:v>
      </x:c>
      <x:c r="M69" t="s">
        <x:v>25</x:v>
      </x:c>
      <x:c r="N69" t="s">
        <x:v>495</x:v>
      </x:c>
      <x:c r="O69" t="s">
        <x:v>24</x:v>
      </x:c>
      <x:c r="P69" t="s">
        <x:v>496</x:v>
      </x:c>
      <x:c r="Q69" s="36"/>
      <x:c r="R69" s="36"/>
      <x:c r="S69" s="37"/>
      <x:c r="T69" s="38"/>
      <x:c r="U69" s="37"/>
      <x:c r="V69" s="38"/>
      <x:c r="W69" s="38"/>
      <x:c r="X69" s="37"/>
      <x:c r="Y69" s="38"/>
      <x:c r="Z69" s="36"/>
      <x:c r="AA69" s="36"/>
      <x:c r="AB69" s="39"/>
      <x:c r="AC69" s="40"/>
      <x:c r="AD69" s="36"/>
      <x:c r="AE69" s="38"/>
      <x:c r="AF69" s="38"/>
      <x:c r="AG69" s="198"/>
      <x:c r="AH69" s="214" t="n">
        <x:f>IF(OR(J69="",J69="-"),"",LEN(J69)-LEN(SUBSTITUTE(J69,",",""))+1)</x:f>
        <x:v>2</x:v>
      </x:c>
      <x:c r="AI69" s="493"/>
    </x:row>
    <x:row r="70">
      <x:c r="A70">
        <x:v>69</x:v>
      </x:c>
      <x:c r="B70" t="s">
        <x:v>497</x:v>
      </x:c>
      <x:c r="C70" t="s">
        <x:v>498</x:v>
      </x:c>
      <x:c r="D70" s="2" t="s">
        <x:v>499</x:v>
      </x:c>
      <x:c r="E70">
        <x:v>2</x:v>
      </x:c>
      <x:c r="F70" t="s">
        <x:v>19</x:v>
      </x:c>
      <x:c r="G70"/>
      <x:c r="H70" t="s">
        <x:v>500</x:v>
      </x:c>
      <x:c r="I70" t="s">
        <x:v>501</x:v>
      </x:c>
      <x:c r="J70" t="s">
        <x:v>502</x:v>
      </x:c>
      <x:c r="K70" t="s">
        <x:v>503</x:v>
      </x:c>
      <x:c r="L70" t="s">
        <x:v>498</x:v>
      </x:c>
      <x:c r="M70" t="s">
        <x:v>504</x:v>
      </x:c>
      <x:c r="N70" t="s">
        <x:v>346</x:v>
      </x:c>
      <x:c r="O70" t="s">
        <x:v>505</x:v>
      </x:c>
      <x:c r="P70" t="s">
        <x:v>506</x:v>
      </x:c>
      <x:c r="Q70" s="36"/>
      <x:c r="R70" s="36"/>
      <x:c r="S70" s="37"/>
      <x:c r="T70" s="38"/>
      <x:c r="U70" s="37"/>
      <x:c r="V70" s="38"/>
      <x:c r="W70" s="38"/>
      <x:c r="X70" s="37"/>
      <x:c r="Y70" s="38"/>
      <x:c r="Z70" s="36"/>
      <x:c r="AA70" s="36"/>
      <x:c r="AB70" s="39"/>
      <x:c r="AC70" s="40"/>
      <x:c r="AD70" s="36"/>
      <x:c r="AE70" s="38"/>
      <x:c r="AF70" s="38"/>
      <x:c r="AG70" s="198"/>
      <x:c r="AH70" s="214" t="n">
        <x:f>IF(OR(J70="",J70="-"),"",LEN(J70)-LEN(SUBSTITUTE(J70,",",""))+1)</x:f>
        <x:v>4</x:v>
      </x:c>
      <x:c r="AI70" s="493"/>
    </x:row>
    <x:row r="71">
      <x:c r="A71">
        <x:v>70</x:v>
      </x:c>
      <x:c r="B71" t="s">
        <x:v>507</x:v>
      </x:c>
      <x:c r="C71" t="s">
        <x:v>508</x:v>
      </x:c>
      <x:c r="D71" s="5" t="s">
        <x:v>509</x:v>
      </x:c>
      <x:c r="E71">
        <x:v>1</x:v>
      </x:c>
      <x:c r="F71" t="s">
        <x:v>19</x:v>
      </x:c>
      <x:c r="G71" t="str">
        <x:v>-</x:v>
      </x:c>
      <x:c r="H71" t="s">
        <x:v>500</x:v>
      </x:c>
      <x:c r="I71" t="s">
        <x:v>510</x:v>
      </x:c>
      <x:c r="J71" t="s">
        <x:v>300</x:v>
      </x:c>
      <x:c r="K71" t="s">
        <x:v>511</x:v>
      </x:c>
      <x:c r="L71" t="s">
        <x:v>508</x:v>
      </x:c>
      <x:c r="M71" t="s">
        <x:v>25</x:v>
      </x:c>
      <x:c r="N71" t="s">
        <x:v>476</x:v>
      </x:c>
      <x:c r="O71" t="s">
        <x:v>512</x:v>
      </x:c>
      <x:c r="P71" t="s">
        <x:v>513</x:v>
      </x:c>
      <x:c r="Q71" s="36"/>
      <x:c r="R71" s="36"/>
      <x:c r="S71" s="37"/>
      <x:c r="T71" s="38"/>
      <x:c r="U71" s="37"/>
      <x:c r="V71" s="38"/>
      <x:c r="W71" s="38"/>
      <x:c r="X71" s="37"/>
      <x:c r="Y71" s="38"/>
      <x:c r="Z71" s="36"/>
      <x:c r="AA71" s="36"/>
      <x:c r="AB71" s="39"/>
      <x:c r="AC71" s="40"/>
      <x:c r="AD71" s="36"/>
      <x:c r="AE71" s="38"/>
      <x:c r="AF71" s="38"/>
      <x:c r="AG71" s="198"/>
      <x:c r="AH71" s="214" t="n">
        <x:f>IF(OR(J71="",J71="-"),"",LEN(J71)-LEN(SUBSTITUTE(J71,",",""))+1)</x:f>
        <x:v>1</x:v>
      </x:c>
      <x:c r="AI71" s="493"/>
    </x:row>
    <x:row r="72">
      <x:c r="A72">
        <x:v>71</x:v>
      </x:c>
      <x:c r="B72" t="s">
        <x:v>514</x:v>
      </x:c>
      <x:c r="C72" t="s">
        <x:v>515</x:v>
      </x:c>
      <x:c r="D72" s="5">
        <x:v>46363</x:v>
      </x:c>
      <x:c r="E72">
        <x:v>1</x:v>
      </x:c>
      <x:c r="F72" t="s">
        <x:v>19</x:v>
      </x:c>
      <x:c r="G72" t="str">
        <x:v>Top 30 — US$4,500 AWS Credits</x:v>
      </x:c>
      <x:c r="H72" t="s">
        <x:v>231</x:v>
      </x:c>
      <x:c r="I72" t="s">
        <x:v>516</x:v>
      </x:c>
      <x:c r="J72" t="s">
        <x:v>517</x:v>
      </x:c>
      <x:c r="K72" t="s">
        <x:v>518</x:v>
      </x:c>
      <x:c r="L72" t="s">
        <x:v>515</x:v>
      </x:c>
      <x:c r="M72" t="s">
        <x:v>25</x:v>
      </x:c>
      <x:c r="N72" t="s">
        <x:v>34</x:v>
      </x:c>
      <x:c r="O72" t="s">
        <x:v>24</x:v>
      </x:c>
      <x:c r="P72" t="s">
        <x:v>519</x:v>
      </x:c>
      <x:c r="Q72" s="36" t="str">
        <x:v>Top 30</x:v>
      </x:c>
      <x:c r="R72" s="36"/>
      <x:c r="S72" s="37"/>
      <x:c r="T72" s="38"/>
      <x:c r="U72" s="37" t="n">
        <x:v>4500</x:v>
      </x:c>
      <x:c r="V72" s="38" t="str">
        <x:v>USD</x:v>
      </x:c>
      <x:c r="W72" s="38"/>
      <x:c r="X72" s="37"/>
      <x:c r="Y72" s="38"/>
      <x:c r="Z72" s="36" t="str">
        <x:v>AWS credits</x:v>
      </x:c>
      <x:c r="AA72" s="36"/>
      <x:c r="AB72" s="39"/>
      <x:c r="AC72" s="40"/>
      <x:c r="AD72" s="36"/>
      <x:c r="AE72" s="38" t="str">
        <x:v>Exclude</x:v>
      </x:c>
      <x:c r="AF72" s="38" t="str">
        <x:v>USD-denominated credit value</x:v>
      </x:c>
      <x:c r="AG72" s="198" t="str">
        <x:f>G72</x:f>
        <x:v>Top 30 — US$4,500 AWS Credits</x:v>
      </x:c>
      <x:c r="AH72" s="214" t="n">
        <x:f>IF(OR(J72="",J72="-"),"",LEN(J72)-LEN(SUBSTITUTE(J72,",",""))+1)</x:f>
        <x:v>2</x:v>
      </x:c>
      <x:c r="AI72" s="493" t="str">
        <x:v>Per Team</x:v>
      </x:c>
    </x:row>
    <x:row r="73">
      <x:c r="A73">
        <x:v>72</x:v>
      </x:c>
      <x:c r="B73" t="s">
        <x:v>520</x:v>
      </x:c>
      <x:c r="C73" t="s">
        <x:v>521</x:v>
      </x:c>
      <x:c r="D73" s="2" t="s">
        <x:v>522</x:v>
      </x:c>
      <x:c r="E73">
        <x:v>1</x:v>
      </x:c>
      <x:c r="F73" t="s">
        <x:v>19</x:v>
      </x:c>
      <x:c r="G73" t="str">
        <x:v>-</x:v>
      </x:c>
      <x:c r="H73" t="s">
        <x:v>447</x:v>
      </x:c>
      <x:c r="I73" t="s">
        <x:v>523</x:v>
      </x:c>
      <x:c r="J73" t="s">
        <x:v>300</x:v>
      </x:c>
      <x:c r="K73" t="s">
        <x:v>524</x:v>
      </x:c>
      <x:c r="L73" t="s">
        <x:v>521</x:v>
      </x:c>
      <x:c r="M73" t="s">
        <x:v>25</x:v>
      </x:c>
      <x:c r="N73" t="s">
        <x:v>525</x:v>
      </x:c>
      <x:c r="O73" t="s">
        <x:v>526</x:v>
      </x:c>
      <x:c r="P73" t="s">
        <x:v>527</x:v>
      </x:c>
      <x:c r="Q73" s="36"/>
      <x:c r="R73" s="36"/>
      <x:c r="S73" s="37"/>
      <x:c r="T73" s="38"/>
      <x:c r="U73" s="37"/>
      <x:c r="V73" s="38"/>
      <x:c r="W73" s="38"/>
      <x:c r="X73" s="37"/>
      <x:c r="Y73" s="38"/>
      <x:c r="Z73" s="36"/>
      <x:c r="AA73" s="36"/>
      <x:c r="AB73" s="39"/>
      <x:c r="AC73" s="40"/>
      <x:c r="AD73" s="36"/>
      <x:c r="AE73" s="38"/>
      <x:c r="AF73" s="38"/>
      <x:c r="AG73" s="198"/>
      <x:c r="AH73" s="214" t="n">
        <x:f>IF(OR(J73="",J73="-"),"",LEN(J73)-LEN(SUBSTITUTE(J73,",",""))+1)</x:f>
        <x:v>1</x:v>
      </x:c>
      <x:c r="AI73" s="493"/>
    </x:row>
    <x:row r="74">
      <x:c r="A74">
        <x:v>73</x:v>
      </x:c>
      <x:c r="B74" t="s">
        <x:v>528</x:v>
      </x:c>
      <x:c r="C74" t="s">
        <x:v>498</x:v>
      </x:c>
      <x:c r="D74" s="2" t="s">
        <x:v>529</x:v>
      </x:c>
      <x:c r="E74">
        <x:v>10</x:v>
      </x:c>
      <x:c r="F74" t="s">
        <x:v>19</x:v>
      </x:c>
      <x:c r="G74" t="str">
        <x:v>-</x:v>
      </x:c>
      <x:c r="H74" t="s">
        <x:v>530</x:v>
      </x:c>
      <x:c r="I74" t="s">
        <x:v>531</x:v>
      </x:c>
      <x:c r="J74" t="s">
        <x:v>300</x:v>
      </x:c>
      <x:c r="K74" t="s">
        <x:v>532</x:v>
      </x:c>
      <x:c r="L74" t="s">
        <x:v>498</x:v>
      </x:c>
      <x:c r="M74" t="s">
        <x:v>504</x:v>
      </x:c>
      <x:c r="N74" t="s">
        <x:v>346</x:v>
      </x:c>
      <x:c r="O74" t="s">
        <x:v>533</x:v>
      </x:c>
      <x:c r="P74" t="s">
        <x:v>506</x:v>
      </x:c>
      <x:c r="Q74" s="36"/>
      <x:c r="R74" s="36"/>
      <x:c r="S74" s="37"/>
      <x:c r="T74" s="38"/>
      <x:c r="U74" s="37"/>
      <x:c r="V74" s="38"/>
      <x:c r="W74" s="38"/>
      <x:c r="X74" s="37"/>
      <x:c r="Y74" s="38"/>
      <x:c r="Z74" s="36"/>
      <x:c r="AA74" s="36"/>
      <x:c r="AB74" s="39"/>
      <x:c r="AC74" s="40"/>
      <x:c r="AD74" s="36"/>
      <x:c r="AE74" s="38"/>
      <x:c r="AF74" s="38"/>
      <x:c r="AG74" s="198"/>
      <x:c r="AH74" s="214" t="n">
        <x:f>IF(OR(J74="",J74="-"),"",LEN(J74)-LEN(SUBSTITUTE(J74,",",""))+1)</x:f>
        <x:v>1</x:v>
      </x:c>
      <x:c r="AI74" s="493"/>
    </x:row>
    <x:row r="75" ht="34">
      <x:c r="A75">
        <x:v>74</x:v>
      </x:c>
      <x:c r="B75" s="12" t="s">
        <x:v>534</x:v>
      </x:c>
      <x:c r="C75" s="12" t="s">
        <x:v>535</x:v>
      </x:c>
      <x:c r="D75" s="5">
        <x:v>46150</x:v>
      </x:c>
      <x:c r="E75">
        <x:v>1</x:v>
      </x:c>
      <x:c r="F75" s="12" t="s">
        <x:v>19</x:v>
      </x:c>
      <x:c r="G75" s="12" t="str">
        <x:v>-</x:v>
      </x:c>
      <x:c r="H75" s="12" t="s">
        <x:v>535</x:v>
      </x:c>
      <x:c r="I75" s="14" t="s">
        <x:v>536</x:v>
      </x:c>
      <x:c r="J75" s="12" t="s">
        <x:v>300</x:v>
      </x:c>
      <x:c r="K75" s="12" t="s">
        <x:v>537</x:v>
      </x:c>
      <x:c r="L75" s="12" t="s">
        <x:v>535</x:v>
      </x:c>
      <x:c r="M75" s="12" t="s">
        <x:v>25</x:v>
      </x:c>
      <x:c r="N75" s="12" t="s">
        <x:v>263</x:v>
      </x:c>
      <x:c r="O75" t="s">
        <x:v>538</x:v>
      </x:c>
      <x:c r="P75" s="12" t="s">
        <x:v>24</x:v>
      </x:c>
      <x:c r="Q75" s="36"/>
      <x:c r="R75" s="36"/>
      <x:c r="S75" s="37"/>
      <x:c r="T75" s="38"/>
      <x:c r="U75" s="37"/>
      <x:c r="V75" s="38"/>
      <x:c r="W75" s="38"/>
      <x:c r="X75" s="37"/>
      <x:c r="Y75" s="38"/>
      <x:c r="Z75" s="36"/>
      <x:c r="AA75" s="36"/>
      <x:c r="AB75" s="39"/>
      <x:c r="AC75" s="40"/>
      <x:c r="AD75" s="36"/>
      <x:c r="AE75" s="38"/>
      <x:c r="AF75" s="38"/>
      <x:c r="AG75" s="198"/>
      <x:c r="AH75" s="214" t="n">
        <x:f>IF(OR(J75="",J75="-"),"",LEN(J75)-LEN(SUBSTITUTE(J75,",",""))+1)</x:f>
        <x:v>1</x:v>
      </x:c>
      <x:c r="AI75" s="493"/>
    </x:row>
    <x:row r="76">
      <x:c r="A76">
        <x:v>75</x:v>
      </x:c>
      <x:c r="B76" s="12" t="s">
        <x:v>539</x:v>
      </x:c>
      <x:c r="C76" s="12" t="s">
        <x:v>540</x:v>
      </x:c>
      <x:c r="D76" s="13" t="s">
        <x:v>541</x:v>
      </x:c>
      <x:c r="E76">
        <x:v>1</x:v>
      </x:c>
      <x:c r="F76" s="12" t="s">
        <x:v>19</x:v>
      </x:c>
      <x:c r="G76" s="12" t="str">
        <x:v>Best Project — Best Vertical Solution: Family Office Track — 2,000 Cybrdeck API Credits Each (US$25 value)</x:v>
      </x:c>
      <x:c r="H76" s="12" t="s">
        <x:v>542</x:v>
      </x:c>
      <x:c r="I76" s="12" t="s">
        <x:v>543</x:v>
      </x:c>
      <x:c r="J76" s="12" t="s">
        <x:v>544</x:v>
      </x:c>
      <x:c r="K76" s="12" t="s">
        <x:v>545</x:v>
      </x:c>
      <x:c r="L76" s="12" t="s">
        <x:v>540</x:v>
      </x:c>
      <x:c r="M76" s="12" t="s">
        <x:v>25</x:v>
      </x:c>
      <x:c r="N76" s="12" t="s">
        <x:v>546</x:v>
      </x:c>
      <x:c r="O76" s="1" t="s">
        <x:v>547</x:v>
      </x:c>
      <x:c r="P76" t="s">
        <x:v>548</x:v>
      </x:c>
      <x:c r="Q76" s="36" t="str">
        <x:v>Best Project</x:v>
      </x:c>
      <x:c r="R76" s="36" t="str">
        <x:v>Best Vertical Solution: Family Office Track</x:v>
      </x:c>
      <x:c r="S76" s="37"/>
      <x:c r="T76" s="38"/>
      <x:c r="U76" s="37" t="n">
        <x:v>25</x:v>
      </x:c>
      <x:c r="V76" s="38" t="str">
        <x:v>USD</x:v>
      </x:c>
      <x:c r="W76" s="38"/>
      <x:c r="X76" s="37"/>
      <x:c r="Y76" s="38"/>
      <x:c r="Z76" s="36" t="str">
        <x:v>2,000 Cybrdeck API credits</x:v>
      </x:c>
      <x:c r="AA76" s="36"/>
      <x:c r="AB76" s="39"/>
      <x:c r="AC76" s="40"/>
      <x:c r="AD76" s="36"/>
      <x:c r="AE76" s="38" t="str">
        <x:v>Exclude</x:v>
      </x:c>
      <x:c r="AF76" s="38" t="str">
        <x:v>US$25 credit value, not cash</x:v>
      </x:c>
      <x:c r="AG76" s="198" t="str">
        <x:f>G76</x:f>
        <x:v>Best Project — Best Vertical Solution: Family Office Track — 2,000 Cybrdeck API Credits Each (US$25 value)</x:v>
      </x:c>
      <x:c r="AH76" s="214" t="n">
        <x:f>IF(OR(J76="",J76="-"),"",LEN(J76)-LEN(SUBSTITUTE(J76,",",""))+1)</x:f>
        <x:v>2</x:v>
      </x:c>
      <x:c r="AI76" s="493" t="str">
        <x:v>Per Team Member</x:v>
      </x:c>
    </x:row>
    <x:row r="77">
      <x:c r="A77">
        <x:v>76</x:v>
      </x:c>
      <x:c r="B77" t="s">
        <x:v>549</x:v>
      </x:c>
      <x:c r="C77" t="s">
        <x:v>550</x:v>
      </x:c>
      <x:c r="D77" t="s">
        <x:v>551</x:v>
      </x:c>
      <x:c r="E77">
        <x:v>1</x:v>
      </x:c>
      <x:c r="F77" t="s">
        <x:v>19</x:v>
      </x:c>
      <x:c r="G77" t="str">
        <x:v>-</x:v>
      </x:c>
      <x:c r="H77" t="s">
        <x:v>552</x:v>
      </x:c>
      <x:c r="I77" t="s">
        <x:v>553</x:v>
      </x:c>
      <x:c r="J77" t="s">
        <x:v>300</x:v>
      </x:c>
      <x:c r="K77" t="s">
        <x:v>554</x:v>
      </x:c>
      <x:c r="L77" t="s">
        <x:v>555</x:v>
      </x:c>
      <x:c r="M77" t="s">
        <x:v>25</x:v>
      </x:c>
      <x:c r="N77" t="s">
        <x:v>556</x:v>
      </x:c>
      <x:c r="O77" t="s">
        <x:v>557</x:v>
      </x:c>
      <x:c r="P77" t="s">
        <x:v>558</x:v>
      </x:c>
      <x:c r="Q77" s="36"/>
      <x:c r="R77" s="36"/>
      <x:c r="S77" s="37"/>
      <x:c r="T77" s="38"/>
      <x:c r="U77" s="37"/>
      <x:c r="V77" s="38"/>
      <x:c r="W77" s="38"/>
      <x:c r="X77" s="37"/>
      <x:c r="Y77" s="38"/>
      <x:c r="Z77" s="36"/>
      <x:c r="AA77" s="36"/>
      <x:c r="AB77" s="39"/>
      <x:c r="AC77" s="40"/>
      <x:c r="AD77" s="36"/>
      <x:c r="AE77" s="38"/>
      <x:c r="AF77" s="38"/>
      <x:c r="AG77" s="198"/>
      <x:c r="AH77" s="214" t="n">
        <x:f>IF(OR(J77="",J77="-"),"",LEN(J77)-LEN(SUBSTITUTE(J77,",",""))+1)</x:f>
        <x:v>1</x:v>
      </x:c>
      <x:c r="AI77" s="493"/>
    </x:row>
    <x:row r="78">
      <x:c r="A78">
        <x:v>77</x:v>
      </x:c>
      <x:c r="B78" t="s">
        <x:v>559</x:v>
      </x:c>
      <x:c r="C78" t="s">
        <x:v>498</x:v>
      </x:c>
      <x:c r="D78" t="s">
        <x:v>560</x:v>
      </x:c>
      <x:c r="E78">
        <x:v>1</x:v>
      </x:c>
      <x:c r="F78" t="s">
        <x:v>30</x:v>
      </x:c>
      <x:c r="G78" t="str">
        <x:v>-</x:v>
      </x:c>
      <x:c r="H78" t="s">
        <x:v>561</x:v>
      </x:c>
      <x:c r="I78" t="s">
        <x:v>562</x:v>
      </x:c>
      <x:c r="J78" t="s">
        <x:v>300</x:v>
      </x:c>
      <x:c r="K78" t="s">
        <x:v>563</x:v>
      </x:c>
      <x:c r="L78" t="s">
        <x:v>498</x:v>
      </x:c>
      <x:c r="M78" t="s">
        <x:v>504</x:v>
      </x:c>
      <x:c r="N78" t="s">
        <x:v>346</x:v>
      </x:c>
      <x:c r="O78" t="s">
        <x:v>564</x:v>
      </x:c>
      <x:c r="P78" t="s">
        <x:v>506</x:v>
      </x:c>
      <x:c r="Q78" s="36"/>
      <x:c r="R78" s="36"/>
      <x:c r="S78" s="37"/>
      <x:c r="T78" s="38"/>
      <x:c r="U78" s="37"/>
      <x:c r="V78" s="38"/>
      <x:c r="W78" s="38"/>
      <x:c r="X78" s="37"/>
      <x:c r="Y78" s="38"/>
      <x:c r="Z78" s="36"/>
      <x:c r="AA78" s="36"/>
      <x:c r="AB78" s="39"/>
      <x:c r="AC78" s="40"/>
      <x:c r="AD78" s="36"/>
      <x:c r="AE78" s="38"/>
      <x:c r="AF78" s="38"/>
      <x:c r="AG78" s="198"/>
      <x:c r="AH78" s="214" t="n">
        <x:f>IF(OR(J78="",J78="-"),"",LEN(J78)-LEN(SUBSTITUTE(J78,",",""))+1)</x:f>
        <x:v>1</x:v>
      </x:c>
      <x:c r="AI78" s="493"/>
    </x:row>
    <x:row r="79">
      <x:c r="A79">
        <x:v>78</x:v>
      </x:c>
      <x:c r="B79" t="s">
        <x:v>565</x:v>
      </x:c>
      <x:c r="C79" t="s">
        <x:v>566</x:v>
      </x:c>
      <x:c r="D79" t="s">
        <x:v>567</x:v>
      </x:c>
      <x:c r="E79">
        <x:v>4</x:v>
      </x:c>
      <x:c r="F79" t="s">
        <x:v>453</x:v>
      </x:c>
      <x:c r="G79" t="str">
        <x:v>-</x:v>
      </x:c>
      <x:c r="H79" t="s">
        <x:v>568</x:v>
      </x:c>
      <x:c r="I79" t="s">
        <x:v>569</x:v>
      </x:c>
      <x:c r="J79" t="s">
        <x:v>570</x:v>
      </x:c>
      <x:c r="K79" t="s">
        <x:v>571</x:v>
      </x:c>
      <x:c r="L79" t="s">
        <x:v>572</x:v>
      </x:c>
      <x:c r="M79" t="s">
        <x:v>25</x:v>
      </x:c>
      <x:c r="N79" t="s">
        <x:v>25</x:v>
      </x:c>
      <x:c r="O79" t="s">
        <x:v>573</x:v>
      </x:c>
      <x:c r="P79" t="s">
        <x:v>574</x:v>
      </x:c>
      <x:c r="Q79" s="36"/>
      <x:c r="R79" s="36"/>
      <x:c r="S79" s="37"/>
      <x:c r="T79" s="38"/>
      <x:c r="U79" s="37"/>
      <x:c r="V79" s="38"/>
      <x:c r="W79" s="38"/>
      <x:c r="X79" s="37"/>
      <x:c r="Y79" s="38"/>
      <x:c r="Z79" s="36"/>
      <x:c r="AA79" s="36"/>
      <x:c r="AB79" s="39"/>
      <x:c r="AC79" s="40"/>
      <x:c r="AD79" s="36"/>
      <x:c r="AE79" s="38"/>
      <x:c r="AF79" s="38"/>
      <x:c r="AG79" s="198"/>
      <x:c r="AH79" s="214" t="n">
        <x:f>IF(OR(J79="",J79="-"),"",LEN(J79)-LEN(SUBSTITUTE(J79,",",""))+1)</x:f>
        <x:v>2</x:v>
      </x:c>
      <x:c r="AI79" s="493"/>
    </x:row>
    <x:row r="80">
      <x:c r="A80" t="n">
        <x:v>79</x:v>
      </x:c>
      <x:c r="B80" t="str">
        <x:v>SG × SWK Friendship AI Business Design Hackathon</x:v>
      </x:c>
      <x:c r="C80" t="str">
        <x:v>Azam Sarawak, ANCHR AI Labs</x:v>
      </x:c>
      <x:c r="D80" t="str">
        <x:v>3 Sep 2026</x:v>
      </x:c>
      <x:c r="E80" t="n">
        <x:v>2</x:v>
      </x:c>
      <x:c r="F80" t="str">
        <x:v>Days</x:v>
      </x:c>
      <x:c r="G80" t="str">
        <x:v>First Runner-Up — SG × Sarawak AI &amp; Design Hackathon — US$200 Kimi AI Credits + Trophy</x:v>
      </x:c>
      <x:c r="H80" t="str">
        <x:v>Micro Business</x:v>
      </x:c>
      <x:c r="I80" t="str">
        <x:v>A bilingual digital visitor experience for Long Taa, a Sebup longhouse village in Sarawak, with trip planning and a Kimi-powered visitor assistant.</x:v>
      </x:c>
      <x:c r="J80" t="str">
        <x:v>sayyid, Hao Ming, Bruce</x:v>
      </x:c>
      <x:c r="K80" t="str">
        <x:v>Long Taa Borneo Eco Stay</x:v>
      </x:c>
      <x:c r="L80" t="str">
        <x:v>Longtaa Borneo</x:v>
      </x:c>
      <x:c r="M80" t="str">
        <x:v>Malaysia</x:v>
      </x:c>
      <x:c r="N80" t="str">
        <x:v>Affin Bank Hikmah Exchange, Kuching, Sarawak</x:v>
      </x:c>
      <x:c r="O80" t="str">
        <x:v>https://github.com/sayyidkhan/longtaaborneo</x:v>
      </x:c>
      <x:c r="P80" t="str">
        <x:v>https://luma.com/n0zkb5w0?tk=OBDQgW</x:v>
      </x:c>
      <x:c r="Q80" s="36" t="str">
        <x:v>First Runner-Up</x:v>
      </x:c>
      <x:c r="R80" s="36" t="str">
        <x:v>SG × Sarawak AI &amp; Design Hackathon 2026</x:v>
      </x:c>
      <x:c r="S80" s="37"/>
      <x:c r="T80" s="38"/>
      <x:c r="U80" s="37" t="n">
        <x:v>200</x:v>
      </x:c>
      <x:c r="V80" s="38" t="str">
        <x:v>USD</x:v>
      </x:c>
      <x:c r="W80" s="38"/>
      <x:c r="X80" s="37"/>
      <x:c r="Y80" s="38"/>
      <x:c r="Z80" s="36" t="str">
        <x:v>Trophy; Kimi AI credits</x:v>
      </x:c>
      <x:c r="AA80" s="36" t="str">
        <x:v>Trophy</x:v>
      </x:c>
      <x:c r="AB80" s="39" t="n">
        <x:v>1</x:v>
      </x:c>
      <x:c r="AC80" s="40"/>
      <x:c r="AD80" s="36"/>
      <x:c r="AE80" s="38" t="str">
        <x:v>Exclude</x:v>
      </x:c>
      <x:c r="AF80" s="38" t="str">
        <x:v>Trophy excluded; credit value tracked</x:v>
      </x:c>
      <x:c r="AG80" s="198" t="str">
        <x:f>G80</x:f>
        <x:v>First Runner-Up — SG × Sarawak AI &amp; Design Hackathon — US$200 Kimi AI Credits + Trophy</x:v>
      </x:c>
      <x:c r="AH80" s="214" t="n">
        <x:f>IF(OR(J80="",J80="-"),"",LEN(J80)-LEN(SUBSTITUTE(J80,",",""))+1)</x:f>
        <x:v>3</x:v>
      </x:c>
      <x:c r="AI80" s="493" t="str">
        <x:v>Per Team</x:v>
      </x:c>
    </x:row>
    <x:row r="81">
      <x:c r="A81" t="n">
        <x:v>80</x:v>
      </x:c>
      <x:c r="B81" t="str">
        <x:v>GPT-6 Astra Hackathon: Singapore</x:v>
      </x:c>
      <x:c r="C81" t="str">
        <x:v>OpenAI, Gabriel Chua, Zane Chee, Brian Chew, Sherry Jiang</x:v>
      </x:c>
      <x:c r="D81" t="str">
        <x:v>13 Sep 2026</x:v>
      </x:c>
      <x:c r="E81" t="n">
        <x:v>1</x:v>
      </x:c>
      <x:c r="F81" t="str">
        <x:v>Days</x:v>
      </x:c>
      <x:c r="G81" t="str">
        <x:v>Best Project — Best Use of GPT-Image-2.5 — US$5,000 OpenAI Credits Each</x:v>
      </x:c>
      <x:c r="H81" t="str">
        <x:v>Agentic AI</x:v>
      </x:c>
      <x:c r="I81" t="str">
        <x:v>Explore a real 3D city with a flying crow, then generate AI travel scenes of yourself at your destination.</x:v>
      </x:c>
      <x:c r="J81" t="str">
        <x:v>sayyid, Clement Lork</x:v>
      </x:c>
      <x:c r="K81" t="str">
        <x:v>Itachi's Crow</x:v>
      </x:c>
      <x:c r="L81" t="str">
        <x:v>OpenAI</x:v>
      </x:c>
      <x:c r="M81" t="str">
        <x:v>Singapore</x:v>
      </x:c>
      <x:c r="N81" t="str">
        <x:v>Singapore</x:v>
      </x:c>
      <x:c r="O81" t="str">
        <x:v>https://github.com/sayyidkhan/itachiscrow</x:v>
      </x:c>
      <x:c r="P81" t="str">
        <x:v>https://luma.com/fdzbrq5b?tk=QX3FM2</x:v>
      </x:c>
      <x:c r="Q81" s="36" t="str">
        <x:v>Best Project</x:v>
      </x:c>
      <x:c r="R81" s="36" t="str">
        <x:v>Best Use of GPT-Image-2.5</x:v>
      </x:c>
      <x:c r="S81" s="37"/>
      <x:c r="T81" s="38"/>
      <x:c r="U81" s="37" t="n">
        <x:v>5000</x:v>
      </x:c>
      <x:c r="V81" s="38" t="str">
        <x:v>USD</x:v>
      </x:c>
      <x:c r="W81" s="38"/>
      <x:c r="X81" s="37"/>
      <x:c r="Y81" s="38"/>
      <x:c r="Z81" s="36" t="str">
        <x:v>OpenAI credits</x:v>
      </x:c>
      <x:c r="AA81" s="36"/>
      <x:c r="AB81" s="39"/>
      <x:c r="AC81" s="40"/>
      <x:c r="AD81" s="36"/>
      <x:c r="AE81" s="38" t="str">
        <x:v>Exclude</x:v>
      </x:c>
      <x:c r="AF81" s="38" t="str">
        <x:v>Credit value tracked</x:v>
      </x:c>
      <x:c r="AG81" s="198" t="str">
        <x:f>G81</x:f>
        <x:v>Best Project — Best Use of GPT-Image-2.5 — US$5,000 OpenAI Credits Each</x:v>
      </x:c>
      <x:c r="AH81" s="214" t="n">
        <x:f>IF(OR(J81="",J81="-"),"",LEN(J81)-LEN(SUBSTITUTE(J81,",",""))+1)</x:f>
        <x:v>2</x:v>
      </x:c>
      <x:c r="AI81" s="493" t="str">
        <x:v>Per Team Member</x:v>
      </x:c>
    </x:row>
    <x:row r="82">
      <x:c r="A82" t="n">
        <x:v>81</x:v>
      </x:c>
      <x:c r="B82" t="str">
        <x:v>Anti-Drug Jam 2026</x:v>
      </x:c>
      <x:c r="C82" t="str">
        <x:v>SCOGA, Esports Academy, National Council Against Drug Abuse (NCADA)</x:v>
      </x:c>
      <x:c r="D82" t="str">
        <x:v>19 Sep 2026</x:v>
      </x:c>
      <x:c r="E82" t="n">
        <x:v>1</x:v>
      </x:c>
      <x:c r="F82" t="str">
        <x:v>Days</x:v>
      </x:c>
      <x:c r="G82"/>
      <x:c r="H82" t="str">
        <x:v>Anti Drugs</x:v>
      </x:c>
      <x:c r="I82" t="str">
        <x:v>An illustrated storybook adventure where you sketch solutions to help Bob navigate peer pressure and find his safe way home.</x:v>
      </x:c>
      <x:c r="J82" t="str">
        <x:v>sayyid</x:v>
      </x:c>
      <x:c r="K82" t="str">
        <x:v>The Next 8 Seconds: Draw Your Way Home</x:v>
      </x:c>
      <x:c r="L82" t="str">
        <x:v>SCOGA × NCADA</x:v>
      </x:c>
      <x:c r="M82" t="str">
        <x:v>Singapore</x:v>
      </x:c>
      <x:c r="N82" t="str">
        <x:v>*SCAPE Ground Theatre</x:v>
      </x:c>
      <x:c r="O82" t="str">
        <x:v>https://github.com/sayyidkhan/8-mins</x:v>
      </x:c>
      <x:c r="P82" t="str">
        <x:v>https://scoga-anti-drug-jam-2026.ai.studio/</x:v>
      </x:c>
      <x:c r="Q82" s="36"/>
      <x:c r="R82" s="36"/>
      <x:c r="S82" s="37"/>
      <x:c r="T82" s="38"/>
      <x:c r="U82" s="37"/>
      <x:c r="V82" s="38"/>
      <x:c r="W82" s="38"/>
      <x:c r="X82" s="37"/>
      <x:c r="Y82" s="38"/>
      <x:c r="Z82" s="36"/>
      <x:c r="AA82" s="36"/>
      <x:c r="AB82" s="39"/>
      <x:c r="AC82" s="40"/>
      <x:c r="AD82" s="36"/>
      <x:c r="AE82" s="38"/>
      <x:c r="AF82" s="38"/>
      <x:c r="AG82" s="198"/>
      <x:c r="AH82" s="214" t="n">
        <x:f>IF(OR(J82="",J82="-"),"",LEN(J82)-LEN(SUBSTITUTE(J82,",",""))+1)</x:f>
        <x:v>1</x:v>
      </x:c>
      <x:c r="AI82" s="493"/>
    </x:row>
    <x:row r="83" ht="40" customHeight="1">
      <x:c r="A83" s="64" t="n">
        <x:v>82</x:v>
      </x:c>
      <x:c r="B83" s="64" t="str">
        <x:v>Reap x 65labs Agentic Buildathon</x:v>
      </x:c>
      <x:c r="C83" s="64" t="str">
        <x:v>Reap, 65labs</x:v>
      </x:c>
      <x:c r="D83" s="523" t="d">
        <x:v>2026-10-09T00:00:00.000Z</x:v>
      </x:c>
      <x:c r="E83" s="64" t="n">
        <x:v>7</x:v>
      </x:c>
      <x:c r="F83" s="64" t="str">
        <x:v>Hours</x:v>
      </x:c>
      <x:c r="G83" s="64"/>
      <x:c r="H83" s="64" t="str">
        <x:v>Agentic Payments, Fitness</x:v>
      </x:c>
      <x:c r="I83" s="64" t="str">
        <x:v>A 1-vs-1 fitness challenge app with AI-recommended rewards and Reap agentic payments tied to participants’ progress.</x:v>
      </x:c>
      <x:c r="J83" s="64"/>
      <x:c r="K83" s="64" t="str">
        <x:v>FitStake</x:v>
      </x:c>
      <x:c r="L83" s="64" t="str">
        <x:v>Reap</x:v>
      </x:c>
      <x:c r="M83" s="64" t="str">
        <x:v>Singapore</x:v>
      </x:c>
      <x:c r="N83" s="64" t="str">
        <x:v>SQ Collective x Gen-AI Labs, 65 Mohamed Sultan Rd, Singapore</x:v>
      </x:c>
      <x:c r="O83" s="64" t="str">
        <x:v>https://github.com/sayyidkhan/fitstake</x:v>
      </x:c>
      <x:c r="P83" s="64" t="str">
        <x:v>https://luma.com/reap-65labs-hack?tk=ct18SG</x:v>
      </x:c>
      <x:c r="Q83" s="36"/>
      <x:c r="R83" s="36" t="str">
        <x:v>Live demo: https://fitstake-eta.vercel.app</x:v>
      </x:c>
      <x:c r="S83" s="37"/>
      <x:c r="T83" s="38"/>
      <x:c r="U83" s="37"/>
      <x:c r="V83" s="38"/>
      <x:c r="W83" s="38"/>
      <x:c r="X83" s="37"/>
      <x:c r="Y83" s="38"/>
      <x:c r="Z83" s="36"/>
      <x:c r="AA83" s="36"/>
      <x:c r="AB83" s="39"/>
      <x:c r="AC83" s="40"/>
      <x:c r="AD83" s="36"/>
      <x:c r="AE83" s="38"/>
      <x:c r="AF83" s="38" t="str">
        <x:v>Team and award details not specified in the supplied posts.</x:v>
      </x:c>
      <x:c r="AG83" s="198"/>
      <x:c r="AH83" s="524" t="str">
        <x:f>IF(OR(J83="",J83="-"),"",LEN(J83)-LEN(SUBSTITUTE(J83,",",""))+1)</x:f>
      </x:c>
      <x:c r="AI83" s="38"/>
    </x:row>
  </x:sheetData>
  <x:hyperlinks>
    <x:hyperlink xmlns:r="http://schemas.openxmlformats.org/officeDocument/2006/relationships" ref="O37" r:id="R407f6600d7cf4d1a"/>
    <x:hyperlink xmlns:r="http://schemas.openxmlformats.org/officeDocument/2006/relationships" ref="P61" r:id="R85e70bf7e0704e2d"/>
    <x:hyperlink xmlns:r="http://schemas.openxmlformats.org/officeDocument/2006/relationships" ref="P62" r:id="Rb1da0f8bdb9e4a4e"/>
    <x:hyperlink xmlns:r="http://schemas.openxmlformats.org/officeDocument/2006/relationships" ref="O76" r:id="Rcf1ff4034fde4573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6"/>
  <x:cols>
    <x:col min="1" max="1" width="11" customWidth="1"/>
    <x:col min="2" max="2" width="24" customWidth="1"/>
    <x:col min="3" max="3" width="42" customWidth="1"/>
    <x:col min="4" max="4" width="14" customWidth="1"/>
    <x:col min="5" max="5" width="48" customWidth="1"/>
    <x:col min="6" max="7" width="24" customWidth="1"/>
    <x:col min="8" max="8" width="20" customWidth="1"/>
    <x:col min="9" max="9" width="36" customWidth="1"/>
    <x:col min="10" max="10" width="14" customWidth="1"/>
  </x:cols>
  <x:sheetData>
    <x:row r="1" ht="38" customHeight="1">
      <x:c r="A1" s="18" t="s">
        <x:v>575</x:v>
      </x:c>
      <x:c r="B1" s="18"/>
      <x:c r="C1" s="18"/>
      <x:c r="D1" s="18"/>
      <x:c r="E1" s="18"/>
    </x:row>
    <x:row r="2" ht="34" customHeight="1">
      <x:c r="A2" s="19" t="s">
        <x:v>576</x:v>
      </x:c>
      <x:c r="B2" s="19"/>
      <x:c r="C2" s="19"/>
      <x:c r="D2" s="19"/>
      <x:c r="E2" s="19"/>
    </x:row>
    <x:row r="4" ht="30" customHeight="1">
      <x:c r="A4" s="11" t="s">
        <x:v>577</x:v>
      </x:c>
      <x:c r="B4" s="11" t="s">
        <x:v>578</x:v>
      </x:c>
      <x:c r="C4" s="11" t="s">
        <x:v>579</x:v>
      </x:c>
      <x:c r="D4" s="11" t="s">
        <x:v>580</x:v>
      </x:c>
      <x:c r="E4" s="11" t="s">
        <x:v>581</x:v>
      </x:c>
    </x:row>
    <x:row r="5" ht="28" customHeight="1">
      <x:c r="A5" s="8" t="s">
        <x:v>582</x:v>
      </x:c>
      <x:c r="B5" s="7" t="s">
        <x:v>583</x:v>
      </x:c>
      <x:c r="C5" s="7" t="s">
        <x:v>584</x:v>
      </x:c>
      <x:c r="D5" s="9">
        <x:v>2</x:v>
      </x:c>
      <x:c r="E5" s="10" t="s">
        <x:v>585</x:v>
      </x:c>
    </x:row>
    <x:row r="6" ht="28" customHeight="1">
      <x:c r="A6" s="8" t="s">
        <x:v>586</x:v>
      </x:c>
      <x:c r="B6" s="7" t="s">
        <x:v>587</x:v>
      </x:c>
      <x:c r="C6" s="7" t="s">
        <x:v>588</x:v>
      </x:c>
      <x:c r="D6" s="9">
        <x:v>1</x:v>
      </x:c>
      <x:c r="E6" s="10" t="s">
        <x:v>589</x:v>
      </x:c>
    </x:row>
    <x:row r="7" ht="28" customHeight="1">
      <x:c r="A7" s="8" t="s">
        <x:v>590</x:v>
      </x:c>
      <x:c r="B7" s="7" t="s">
        <x:v>591</x:v>
      </x:c>
      <x:c r="C7" s="7" t="s">
        <x:v>592</x:v>
      </x:c>
      <x:c r="D7" s="9">
        <x:v>1</x:v>
      </x:c>
      <x:c r="E7" s="10"/>
    </x:row>
    <x:row r="8" ht="28" customHeight="1">
      <x:c r="A8" s="8" t="s">
        <x:v>593</x:v>
      </x:c>
      <x:c r="B8" s="7" t="s">
        <x:v>594</x:v>
      </x:c>
      <x:c r="C8" s="7" t="s">
        <x:v>595</x:v>
      </x:c>
      <x:c r="D8" s="9">
        <x:v>1</x:v>
      </x:c>
      <x:c r="E8" s="10" t="s">
        <x:v>596</x:v>
      </x:c>
    </x:row>
    <x:row r="9" ht="28" customHeight="1">
      <x:c r="A9" s="8" t="s">
        <x:v>597</x:v>
      </x:c>
      <x:c r="B9" s="7" t="s">
        <x:v>598</x:v>
      </x:c>
      <x:c r="C9" s="7" t="s">
        <x:v>588</x:v>
      </x:c>
      <x:c r="D9" s="9">
        <x:v>1</x:v>
      </x:c>
      <x:c r="E9" s="10" t="s">
        <x:v>599</x:v>
      </x:c>
    </x:row>
    <x:row r="10" ht="28" customHeight="1">
      <x:c r="A10" s="8" t="s">
        <x:v>600</x:v>
      </x:c>
      <x:c r="B10" s="7" t="s">
        <x:v>601</x:v>
      </x:c>
      <x:c r="C10" s="7" t="s">
        <x:v>602</x:v>
      </x:c>
      <x:c r="D10" s="9">
        <x:v>1</x:v>
      </x:c>
      <x:c r="E10" s="10"/>
    </x:row>
    <x:row r="11" ht="28" customHeight="1">
      <x:c r="A11" s="8" t="s">
        <x:v>603</x:v>
      </x:c>
      <x:c r="B11" s="7" t="s">
        <x:v>604</x:v>
      </x:c>
      <x:c r="C11" s="7" t="s">
        <x:v>605</x:v>
      </x:c>
      <x:c r="D11" s="9">
        <x:v>1</x:v>
      </x:c>
      <x:c r="E11" s="10" t="s">
        <x:v>606</x:v>
      </x:c>
    </x:row>
    <x:row r="12" ht="28" customHeight="1">
      <x:c r="A12" s="8" t="s">
        <x:v>607</x:v>
      </x:c>
      <x:c r="B12" s="7" t="s">
        <x:v>608</x:v>
      </x:c>
      <x:c r="C12" s="7" t="s">
        <x:v>609</x:v>
      </x:c>
      <x:c r="D12" s="9">
        <x:v>1</x:v>
      </x:c>
      <x:c r="E12" s="10" t="s">
        <x:v>610</x:v>
      </x:c>
    </x:row>
    <x:row r="13" ht="28" customHeight="1">
      <x:c r="A13" s="8" t="s">
        <x:v>611</x:v>
      </x:c>
      <x:c r="B13" s="7" t="s">
        <x:v>612</x:v>
      </x:c>
      <x:c r="C13" s="7" t="s">
        <x:v>613</x:v>
      </x:c>
      <x:c r="D13" s="9">
        <x:v>1</x:v>
      </x:c>
      <x:c r="E13" s="10"/>
    </x:row>
    <x:row r="14" ht="28" customHeight="1">
      <x:c r="A14" s="8" t="s">
        <x:v>614</x:v>
      </x:c>
      <x:c r="B14" s="7" t="s">
        <x:v>615</x:v>
      </x:c>
      <x:c r="C14" s="7" t="s">
        <x:v>613</x:v>
      </x:c>
      <x:c r="D14" s="9">
        <x:v>1</x:v>
      </x:c>
      <x:c r="E14" s="10" t="s">
        <x:v>616</x:v>
      </x:c>
    </x:row>
    <x:row r="15" ht="28" customHeight="1">
      <x:c r="A15" s="8" t="s">
        <x:v>617</x:v>
      </x:c>
      <x:c r="B15" s="7" t="s">
        <x:v>618</x:v>
      </x:c>
      <x:c r="C15" s="7" t="s">
        <x:v>619</x:v>
      </x:c>
      <x:c r="D15" s="9">
        <x:v>1</x:v>
      </x:c>
      <x:c r="E15" s="10"/>
    </x:row>
    <x:row r="16" ht="28" customHeight="1">
      <x:c r="A16" s="8" t="s">
        <x:v>620</x:v>
      </x:c>
      <x:c r="B16" s="7" t="s">
        <x:v>621</x:v>
      </x:c>
      <x:c r="C16" s="7" t="s">
        <x:v>622</x:v>
      </x:c>
      <x:c r="D16" s="9">
        <x:v>1</x:v>
      </x:c>
      <x:c r="E16" s="10" t="s">
        <x:v>623</x:v>
      </x:c>
    </x:row>
    <x:row r="17" ht="28" customHeight="1">
      <x:c r="A17" s="8" t="s">
        <x:v>624</x:v>
      </x:c>
      <x:c r="B17" s="7" t="s">
        <x:v>625</x:v>
      </x:c>
      <x:c r="C17" s="7" t="s">
        <x:v>626</x:v>
      </x:c>
      <x:c r="D17" s="9">
        <x:v>1</x:v>
      </x:c>
      <x:c r="E17" s="10"/>
    </x:row>
    <x:row r="18" ht="28" customHeight="1">
      <x:c r="A18" s="8" t="s">
        <x:v>627</x:v>
      </x:c>
      <x:c r="B18" s="7" t="s">
        <x:v>628</x:v>
      </x:c>
      <x:c r="C18" s="7" t="s">
        <x:v>629</x:v>
      </x:c>
      <x:c r="D18" s="9">
        <x:v>1</x:v>
      </x:c>
      <x:c r="E18" s="10" t="s">
        <x:v>630</x:v>
      </x:c>
    </x:row>
    <x:row r="19" ht="28" customHeight="1">
      <x:c r="A19" s="8" t="s">
        <x:v>631</x:v>
      </x:c>
      <x:c r="B19" s="7" t="s">
        <x:v>632</x:v>
      </x:c>
      <x:c r="C19" s="7" t="s">
        <x:v>633</x:v>
      </x:c>
      <x:c r="D19" s="9">
        <x:v>2</x:v>
      </x:c>
      <x:c r="E19" s="10" t="s">
        <x:v>634</x:v>
      </x:c>
    </x:row>
    <x:row r="20" ht="28" customHeight="1">
      <x:c r="A20" s="8" t="s">
        <x:v>635</x:v>
      </x:c>
      <x:c r="B20" s="7" t="s">
        <x:v>636</x:v>
      </x:c>
      <x:c r="C20" s="7" t="s">
        <x:v>637</x:v>
      </x:c>
      <x:c r="D20" s="9">
        <x:v>1</x:v>
      </x:c>
      <x:c r="E20" s="10"/>
    </x:row>
    <x:row r="21" ht="28" customHeight="1">
      <x:c r="A21" s="8" t="s">
        <x:v>638</x:v>
      </x:c>
      <x:c r="B21" s="7" t="s">
        <x:v>639</x:v>
      </x:c>
      <x:c r="C21" s="7" t="str">
        <x:v>#069, #071, #079</x:v>
      </x:c>
      <x:c r="D21" s="9" t="n">
        <x:v>3</x:v>
      </x:c>
      <x:c r="E21" s="10" t="s">
        <x:v>640</x:v>
      </x:c>
    </x:row>
    <x:row r="22" ht="28" customHeight="1">
      <x:c r="A22" s="8" t="s">
        <x:v>641</x:v>
      </x:c>
      <x:c r="B22" s="7" t="s">
        <x:v>642</x:v>
      </x:c>
      <x:c r="C22" s="7" t="s">
        <x:v>643</x:v>
      </x:c>
      <x:c r="D22" s="9">
        <x:v>1</x:v>
      </x:c>
      <x:c r="E22" s="10"/>
    </x:row>
    <x:row r="23" ht="28" customHeight="1">
      <x:c r="A23" s="8" t="s">
        <x:v>644</x:v>
      </x:c>
      <x:c r="B23" s="7" t="s">
        <x:v>645</x:v>
      </x:c>
      <x:c r="C23" s="7" t="s">
        <x:v>646</x:v>
      </x:c>
      <x:c r="D23" s="9">
        <x:v>1</x:v>
      </x:c>
      <x:c r="E23" s="10"/>
    </x:row>
    <x:row r="24" ht="28" customHeight="1">
      <x:c r="A24" s="8" t="s">
        <x:v>647</x:v>
      </x:c>
      <x:c r="B24" s="7" t="s">
        <x:v>648</x:v>
      </x:c>
      <x:c r="C24" s="7" t="str">
        <x:v>#054, #055, #056, #062, #066, #068, #075</x:v>
      </x:c>
      <x:c r="D24" s="9" t="n">
        <x:v>7</x:v>
      </x:c>
      <x:c r="E24" s="10" t="s">
        <x:v>649</x:v>
      </x:c>
    </x:row>
    <x:row r="25" ht="28" customHeight="1">
      <x:c r="A25" s="8" t="s">
        <x:v>650</x:v>
      </x:c>
      <x:c r="B25" s="7" t="str">
        <x:v>Clement Lork</x:v>
      </x:c>
      <x:c r="C25" s="7" t="str">
        <x:v>#050, #051, #080</x:v>
      </x:c>
      <x:c r="D25" s="9" t="n">
        <x:v>3</x:v>
      </x:c>
      <x:c r="E25" s="10" t="s">
        <x:v>651</x:v>
      </x:c>
    </x:row>
    <x:row r="26" ht="28" customHeight="1">
      <x:c r="A26" s="8" t="s">
        <x:v>652</x:v>
      </x:c>
      <x:c r="B26" s="7" t="s">
        <x:v>653</x:v>
      </x:c>
      <x:c r="C26" s="7" t="s">
        <x:v>592</x:v>
      </x:c>
      <x:c r="D26" s="9">
        <x:v>1</x:v>
      </x:c>
      <x:c r="E26" s="10"/>
    </x:row>
    <x:row r="27" ht="28" customHeight="1">
      <x:c r="A27" s="8" t="s">
        <x:v>654</x:v>
      </x:c>
      <x:c r="B27" s="7" t="s">
        <x:v>655</x:v>
      </x:c>
      <x:c r="C27" s="7" t="s">
        <x:v>656</x:v>
      </x:c>
      <x:c r="D27" s="9">
        <x:v>1</x:v>
      </x:c>
      <x:c r="E27" s="10"/>
    </x:row>
    <x:row r="28" ht="28" customHeight="1">
      <x:c r="A28" s="8" t="s">
        <x:v>657</x:v>
      </x:c>
      <x:c r="B28" s="7" t="s">
        <x:v>658</x:v>
      </x:c>
      <x:c r="C28" s="7" t="s">
        <x:v>659</x:v>
      </x:c>
      <x:c r="D28" s="9">
        <x:v>2</x:v>
      </x:c>
      <x:c r="E28" s="10"/>
    </x:row>
    <x:row r="29" ht="28" customHeight="1">
      <x:c r="A29" s="8" t="s">
        <x:v>660</x:v>
      </x:c>
      <x:c r="B29" s="7" t="s">
        <x:v>661</x:v>
      </x:c>
      <x:c r="C29" s="7" t="s">
        <x:v>662</x:v>
      </x:c>
      <x:c r="D29" s="9">
        <x:v>4</x:v>
      </x:c>
      <x:c r="E29" s="10"/>
    </x:row>
    <x:row r="30" ht="28" customHeight="1">
      <x:c r="A30" s="8" t="s">
        <x:v>663</x:v>
      </x:c>
      <x:c r="B30" s="7" t="s">
        <x:v>664</x:v>
      </x:c>
      <x:c r="C30" s="7" t="s">
        <x:v>656</x:v>
      </x:c>
      <x:c r="D30" s="9">
        <x:v>1</x:v>
      </x:c>
      <x:c r="E30" s="10"/>
    </x:row>
    <x:row r="31" ht="28" customHeight="1">
      <x:c r="A31" s="8" t="s">
        <x:v>665</x:v>
      </x:c>
      <x:c r="B31" s="7" t="s">
        <x:v>666</x:v>
      </x:c>
      <x:c r="C31" s="7" t="s">
        <x:v>605</x:v>
      </x:c>
      <x:c r="D31" s="9">
        <x:v>1</x:v>
      </x:c>
      <x:c r="E31" s="10" t="s">
        <x:v>667</x:v>
      </x:c>
    </x:row>
    <x:row r="32" ht="28" customHeight="1">
      <x:c r="A32" s="8" t="s">
        <x:v>668</x:v>
      </x:c>
      <x:c r="B32" s="7" t="s">
        <x:v>669</x:v>
      </x:c>
      <x:c r="C32" s="7" t="s">
        <x:v>670</x:v>
      </x:c>
      <x:c r="D32" s="9">
        <x:v>1</x:v>
      </x:c>
      <x:c r="E32" s="10" t="s">
        <x:v>671</x:v>
      </x:c>
    </x:row>
    <x:row r="33" ht="28" customHeight="1">
      <x:c r="A33" s="8" t="s">
        <x:v>672</x:v>
      </x:c>
      <x:c r="B33" s="7" t="s">
        <x:v>673</x:v>
      </x:c>
      <x:c r="C33" s="7" t="s">
        <x:v>643</x:v>
      </x:c>
      <x:c r="D33" s="9">
        <x:v>1</x:v>
      </x:c>
      <x:c r="E33" s="10"/>
    </x:row>
    <x:row r="34" ht="28" customHeight="1">
      <x:c r="A34" s="8" t="s">
        <x:v>674</x:v>
      </x:c>
      <x:c r="B34" s="7" t="s">
        <x:v>675</x:v>
      </x:c>
      <x:c r="C34" s="7" t="s">
        <x:v>676</x:v>
      </x:c>
      <x:c r="D34" s="9">
        <x:v>1</x:v>
      </x:c>
      <x:c r="E34" s="10"/>
    </x:row>
    <x:row r="35" ht="28" customHeight="1">
      <x:c r="A35" s="8" t="s">
        <x:v>677</x:v>
      </x:c>
      <x:c r="B35" s="7" t="s">
        <x:v>678</x:v>
      </x:c>
      <x:c r="C35" s="7" t="s">
        <x:v>679</x:v>
      </x:c>
      <x:c r="D35" s="9">
        <x:v>1</x:v>
      </x:c>
      <x:c r="E35" s="10" t="s">
        <x:v>680</x:v>
      </x:c>
    </x:row>
    <x:row r="36" ht="28" customHeight="1">
      <x:c r="A36" s="8" t="s">
        <x:v>681</x:v>
      </x:c>
      <x:c r="B36" s="7" t="s">
        <x:v>682</x:v>
      </x:c>
      <x:c r="C36" s="7" t="s">
        <x:v>683</x:v>
      </x:c>
      <x:c r="D36" s="9">
        <x:v>1</x:v>
      </x:c>
      <x:c r="E36" s="10" t="s">
        <x:v>684</x:v>
      </x:c>
    </x:row>
    <x:row r="37" ht="28" customHeight="1">
      <x:c r="A37" s="8" t="s">
        <x:v>685</x:v>
      </x:c>
      <x:c r="B37" s="7" t="s">
        <x:v>686</x:v>
      </x:c>
      <x:c r="C37" s="7" t="s">
        <x:v>687</x:v>
      </x:c>
      <x:c r="D37" s="9">
        <x:v>1</x:v>
      </x:c>
      <x:c r="E37" s="10"/>
    </x:row>
    <x:row r="38" ht="28" customHeight="1">
      <x:c r="A38" s="8" t="s">
        <x:v>688</x:v>
      </x:c>
      <x:c r="B38" s="7" t="s">
        <x:v>689</x:v>
      </x:c>
      <x:c r="C38" s="7" t="s">
        <x:v>626</x:v>
      </x:c>
      <x:c r="D38" s="9">
        <x:v>1</x:v>
      </x:c>
      <x:c r="E38" s="10"/>
    </x:row>
    <x:row r="39" ht="28" customHeight="1">
      <x:c r="A39" s="8" t="s">
        <x:v>690</x:v>
      </x:c>
      <x:c r="B39" s="7" t="s">
        <x:v>691</x:v>
      </x:c>
      <x:c r="C39" s="7" t="s">
        <x:v>692</x:v>
      </x:c>
      <x:c r="D39" s="9">
        <x:v>3</x:v>
      </x:c>
      <x:c r="E39" s="10"/>
    </x:row>
    <x:row r="40" ht="28" customHeight="1">
      <x:c r="A40" s="8" t="s">
        <x:v>693</x:v>
      </x:c>
      <x:c r="B40" s="7" t="s">
        <x:v>694</x:v>
      </x:c>
      <x:c r="C40" s="7" t="s">
        <x:v>695</x:v>
      </x:c>
      <x:c r="D40" s="9">
        <x:v>1</x:v>
      </x:c>
      <x:c r="E40" s="10" t="s">
        <x:v>696</x:v>
      </x:c>
    </x:row>
    <x:row r="41" ht="28" customHeight="1">
      <x:c r="A41" s="8" t="s">
        <x:v>697</x:v>
      </x:c>
      <x:c r="B41" s="7" t="s">
        <x:v>698</x:v>
      </x:c>
      <x:c r="C41" s="7" t="s">
        <x:v>695</x:v>
      </x:c>
      <x:c r="D41" s="9">
        <x:v>1</x:v>
      </x:c>
      <x:c r="E41" s="10" t="s">
        <x:v>699</x:v>
      </x:c>
    </x:row>
    <x:row r="42" ht="28" customHeight="1">
      <x:c r="A42" s="8" t="s">
        <x:v>700</x:v>
      </x:c>
      <x:c r="B42" s="7" t="s">
        <x:v>701</x:v>
      </x:c>
      <x:c r="C42" s="7" t="s">
        <x:v>702</x:v>
      </x:c>
      <x:c r="D42" s="9">
        <x:v>1</x:v>
      </x:c>
      <x:c r="E42" s="10"/>
    </x:row>
    <x:row r="43" ht="28" customHeight="1">
      <x:c r="A43" s="8" t="s">
        <x:v>703</x:v>
      </x:c>
      <x:c r="B43" s="7" t="s">
        <x:v>704</x:v>
      </x:c>
      <x:c r="C43" s="7" t="str">
        <x:v>#069, #079</x:v>
      </x:c>
      <x:c r="D43" s="9" t="n">
        <x:v>2</x:v>
      </x:c>
      <x:c r="E43" s="10"/>
    </x:row>
    <x:row r="44" ht="28" customHeight="1">
      <x:c r="A44" s="8" t="s">
        <x:v>705</x:v>
      </x:c>
      <x:c r="B44" s="7" t="s">
        <x:v>706</x:v>
      </x:c>
      <x:c r="C44" s="7" t="s">
        <x:v>659</x:v>
      </x:c>
      <x:c r="D44" s="9">
        <x:v>2</x:v>
      </x:c>
      <x:c r="E44" s="10" t="s">
        <x:v>707</x:v>
      </x:c>
    </x:row>
    <x:row r="45" ht="28" customHeight="1">
      <x:c r="A45" s="8" t="s">
        <x:v>708</x:v>
      </x:c>
      <x:c r="B45" s="7" t="s">
        <x:v>709</x:v>
      </x:c>
      <x:c r="C45" s="7" t="s">
        <x:v>710</x:v>
      </x:c>
      <x:c r="D45" s="9">
        <x:v>1</x:v>
      </x:c>
      <x:c r="E45" s="10"/>
    </x:row>
    <x:row r="46" ht="28" customHeight="1">
      <x:c r="A46" s="8" t="s">
        <x:v>711</x:v>
      </x:c>
      <x:c r="B46" s="7" t="s">
        <x:v>712</x:v>
      </x:c>
      <x:c r="C46" s="7" t="s">
        <x:v>676</x:v>
      </x:c>
      <x:c r="D46" s="9">
        <x:v>1</x:v>
      </x:c>
      <x:c r="E46" s="10"/>
    </x:row>
    <x:row r="47" ht="28" customHeight="1">
      <x:c r="A47" s="8" t="s">
        <x:v>713</x:v>
      </x:c>
      <x:c r="B47" s="7" t="s">
        <x:v>714</x:v>
      </x:c>
      <x:c r="C47" s="7" t="s">
        <x:v>588</x:v>
      </x:c>
      <x:c r="D47" s="9">
        <x:v>1</x:v>
      </x:c>
      <x:c r="E47" s="10" t="s">
        <x:v>715</x:v>
      </x:c>
    </x:row>
    <x:row r="48" ht="28" customHeight="1">
      <x:c r="A48" s="8" t="s">
        <x:v>716</x:v>
      </x:c>
      <x:c r="B48" s="7" t="s">
        <x:v>717</x:v>
      </x:c>
      <x:c r="C48" s="7" t="s">
        <x:v>718</x:v>
      </x:c>
      <x:c r="D48" s="9">
        <x:v>6</x:v>
      </x:c>
      <x:c r="E48" s="10" t="s">
        <x:v>719</x:v>
      </x:c>
    </x:row>
    <x:row r="49" ht="28" customHeight="1">
      <x:c r="A49" s="8" t="s">
        <x:v>720</x:v>
      </x:c>
      <x:c r="B49" s="7" t="s">
        <x:v>721</x:v>
      </x:c>
      <x:c r="C49" s="7" t="s">
        <x:v>722</x:v>
      </x:c>
      <x:c r="D49" s="9">
        <x:v>1</x:v>
      </x:c>
      <x:c r="E49" s="10"/>
    </x:row>
    <x:row r="50" ht="28" customHeight="1">
      <x:c r="A50" s="8" t="s">
        <x:v>723</x:v>
      </x:c>
      <x:c r="B50" s="7" t="s">
        <x:v>724</x:v>
      </x:c>
      <x:c r="C50" s="7" t="s">
        <x:v>687</x:v>
      </x:c>
      <x:c r="D50" s="9">
        <x:v>1</x:v>
      </x:c>
      <x:c r="E50" s="10"/>
    </x:row>
    <x:row r="51" ht="28" customHeight="1">
      <x:c r="A51" s="8" t="s">
        <x:v>725</x:v>
      </x:c>
      <x:c r="B51" s="7" t="s">
        <x:v>726</x:v>
      </x:c>
      <x:c r="C51" s="7" t="s">
        <x:v>727</x:v>
      </x:c>
      <x:c r="D51" s="9">
        <x:v>2</x:v>
      </x:c>
      <x:c r="E51" s="10" t="s">
        <x:v>728</x:v>
      </x:c>
    </x:row>
    <x:row r="52" ht="28" customHeight="1">
      <x:c r="A52" s="8" t="s">
        <x:v>729</x:v>
      </x:c>
      <x:c r="B52" s="7" t="s">
        <x:v>730</x:v>
      </x:c>
      <x:c r="C52" s="7" t="s">
        <x:v>731</x:v>
      </x:c>
      <x:c r="D52" s="9">
        <x:v>1</x:v>
      </x:c>
      <x:c r="E52" s="10" t="s">
        <x:v>732</x:v>
      </x:c>
    </x:row>
    <x:row r="53" ht="28" customHeight="1">
      <x:c r="A53" s="8" t="s">
        <x:v>733</x:v>
      </x:c>
      <x:c r="B53" s="7" t="s">
        <x:v>734</x:v>
      </x:c>
      <x:c r="C53" s="7" t="s">
        <x:v>735</x:v>
      </x:c>
      <x:c r="D53" s="9">
        <x:v>4</x:v>
      </x:c>
      <x:c r="E53" s="10" t="s">
        <x:v>736</x:v>
      </x:c>
    </x:row>
    <x:row r="54" ht="28" customHeight="1">
      <x:c r="A54" s="8" t="s">
        <x:v>737</x:v>
      </x:c>
      <x:c r="B54" s="7" t="s">
        <x:v>738</x:v>
      </x:c>
      <x:c r="C54" s="7" t="s">
        <x:v>739</x:v>
      </x:c>
      <x:c r="D54" s="9">
        <x:v>1</x:v>
      </x:c>
      <x:c r="E54" s="10"/>
    </x:row>
    <x:row r="55" ht="28" customHeight="1">
      <x:c r="A55" s="8" t="s">
        <x:v>740</x:v>
      </x:c>
      <x:c r="B55" s="7" t="s">
        <x:v>741</x:v>
      </x:c>
      <x:c r="C55" s="7" t="s">
        <x:v>742</x:v>
      </x:c>
      <x:c r="D55" s="9">
        <x:v>1</x:v>
      </x:c>
      <x:c r="E55" s="10" t="s">
        <x:v>743</x:v>
      </x:c>
    </x:row>
    <x:row r="56" ht="28" customHeight="1">
      <x:c r="A56" s="8" t="s">
        <x:v>744</x:v>
      </x:c>
      <x:c r="B56" s="7" t="s">
        <x:v>745</x:v>
      </x:c>
      <x:c r="C56" s="7" t="s">
        <x:v>746</x:v>
      </x:c>
      <x:c r="D56" s="9">
        <x:v>1</x:v>
      </x:c>
      <x:c r="E56" s="10" t="s">
        <x:v>747</x:v>
      </x:c>
    </x:row>
    <x:row r="57" ht="28" customHeight="1">
      <x:c r="A57" s="8" t="s">
        <x:v>748</x:v>
      </x:c>
      <x:c r="B57" s="7" t="s">
        <x:v>749</x:v>
      </x:c>
      <x:c r="C57" s="7" t="s">
        <x:v>750</x:v>
      </x:c>
      <x:c r="D57" s="9">
        <x:v>1</x:v>
      </x:c>
      <x:c r="E57" s="10" t="s">
        <x:v>751</x:v>
      </x:c>
    </x:row>
    <x:row r="58" ht="28" customHeight="1">
      <x:c r="A58" s="8" t="s">
        <x:v>752</x:v>
      </x:c>
      <x:c r="B58" s="7" t="s">
        <x:v>753</x:v>
      </x:c>
      <x:c r="C58" s="7" t="s">
        <x:v>754</x:v>
      </x:c>
      <x:c r="D58" s="9">
        <x:v>3</x:v>
      </x:c>
      <x:c r="E58" s="10" t="s">
        <x:v>755</x:v>
      </x:c>
    </x:row>
    <x:row r="59" ht="28" customHeight="1">
      <x:c r="A59" s="8" t="s">
        <x:v>756</x:v>
      </x:c>
      <x:c r="B59" s="7" t="s">
        <x:v>757</x:v>
      </x:c>
      <x:c r="C59" s="7" t="s">
        <x:v>592</x:v>
      </x:c>
      <x:c r="D59" s="9">
        <x:v>1</x:v>
      </x:c>
      <x:c r="E59" s="10"/>
    </x:row>
    <x:row r="60" ht="28" customHeight="1">
      <x:c r="A60" s="8" t="s">
        <x:v>758</x:v>
      </x:c>
      <x:c r="B60" s="7" t="s">
        <x:v>759</x:v>
      </x:c>
      <x:c r="C60" s="7" t="s">
        <x:v>629</x:v>
      </x:c>
      <x:c r="D60" s="9">
        <x:v>1</x:v>
      </x:c>
      <x:c r="E60" s="10"/>
    </x:row>
    <x:row r="61" ht="28" customHeight="1">
      <x:c r="A61" s="8" t="s">
        <x:v>760</x:v>
      </x:c>
      <x:c r="B61" s="7" t="s">
        <x:v>761</x:v>
      </x:c>
      <x:c r="C61" s="7" t="s">
        <x:v>613</x:v>
      </x:c>
      <x:c r="D61" s="9">
        <x:v>1</x:v>
      </x:c>
      <x:c r="E61" s="10"/>
    </x:row>
    <x:row r="62" ht="28" customHeight="1">
      <x:c r="A62" s="8" t="s">
        <x:v>762</x:v>
      </x:c>
      <x:c r="B62" s="7" t="s">
        <x:v>763</x:v>
      </x:c>
      <x:c r="C62" s="7" t="s">
        <x:v>619</x:v>
      </x:c>
      <x:c r="D62" s="9">
        <x:v>1</x:v>
      </x:c>
      <x:c r="E62" s="10" t="s">
        <x:v>764</x:v>
      </x:c>
    </x:row>
    <x:row r="63" ht="28" customHeight="1">
      <x:c r="A63" s="8" t="s">
        <x:v>765</x:v>
      </x:c>
      <x:c r="B63" s="7" t="s">
        <x:v>766</x:v>
      </x:c>
      <x:c r="C63" s="7" t="s">
        <x:v>613</x:v>
      </x:c>
      <x:c r="D63" s="9">
        <x:v>1</x:v>
      </x:c>
      <x:c r="E63" s="10"/>
    </x:row>
    <x:row r="64" ht="28" customHeight="1">
      <x:c r="A64" s="8" t="s">
        <x:v>767</x:v>
      </x:c>
      <x:c r="B64" s="7" t="s">
        <x:v>768</x:v>
      </x:c>
      <x:c r="C64" s="7" t="s">
        <x:v>769</x:v>
      </x:c>
      <x:c r="D64" s="9">
        <x:v>1</x:v>
      </x:c>
      <x:c r="E64" s="10"/>
    </x:row>
    <x:row r="65" ht="28" customHeight="1">
      <x:c r="A65" s="8" t="s">
        <x:v>770</x:v>
      </x:c>
      <x:c r="B65" s="7" t="s">
        <x:v>771</x:v>
      </x:c>
      <x:c r="C65" s="7" t="s">
        <x:v>772</x:v>
      </x:c>
      <x:c r="D65" s="9">
        <x:v>1</x:v>
      </x:c>
      <x:c r="E65" s="10"/>
    </x:row>
    <x:row r="66" ht="28" customHeight="1">
      <x:c r="A66" s="8" t="s">
        <x:v>773</x:v>
      </x:c>
      <x:c r="B66" s="7" t="s">
        <x:v>774</x:v>
      </x:c>
      <x:c r="C66" s="7" t="s">
        <x:v>602</x:v>
      </x:c>
      <x:c r="D66" s="9">
        <x:v>1</x:v>
      </x:c>
      <x:c r="E66" s="10"/>
    </x:row>
    <x:row r="67" ht="28" customHeight="1">
      <x:c r="A67" s="8" t="s">
        <x:v>775</x:v>
      </x:c>
      <x:c r="B67" s="7" t="s">
        <x:v>776</x:v>
      </x:c>
      <x:c r="C67" s="7" t="s">
        <x:v>754</x:v>
      </x:c>
      <x:c r="D67" s="9">
        <x:v>3</x:v>
      </x:c>
      <x:c r="E67" s="10" t="s">
        <x:v>777</x:v>
      </x:c>
    </x:row>
    <x:row r="68" ht="28" customHeight="1">
      <x:c r="A68" s="8" t="s">
        <x:v>778</x:v>
      </x:c>
      <x:c r="B68" s="7" t="s">
        <x:v>779</x:v>
      </x:c>
      <x:c r="C68" s="7" t="s">
        <x:v>629</x:v>
      </x:c>
      <x:c r="D68" s="9">
        <x:v>1</x:v>
      </x:c>
      <x:c r="E68" s="10" t="s">
        <x:v>780</x:v>
      </x:c>
    </x:row>
    <x:row r="69" ht="28" customHeight="1">
      <x:c r="A69" s="8" t="s">
        <x:v>781</x:v>
      </x:c>
      <x:c r="B69" s="7" t="s">
        <x:v>782</x:v>
      </x:c>
      <x:c r="C69" s="7" t="s">
        <x:v>609</x:v>
      </x:c>
      <x:c r="D69" s="9">
        <x:v>1</x:v>
      </x:c>
      <x:c r="E69" s="10"/>
    </x:row>
    <x:row r="70" ht="28" customHeight="1">
      <x:c r="A70" s="8" t="s">
        <x:v>783</x:v>
      </x:c>
      <x:c r="B70" s="7" t="s">
        <x:v>784</x:v>
      </x:c>
      <x:c r="C70" s="7" t="s">
        <x:v>637</x:v>
      </x:c>
      <x:c r="D70" s="9">
        <x:v>1</x:v>
      </x:c>
      <x:c r="E70" s="10"/>
    </x:row>
    <x:row r="71" ht="28" customHeight="1">
      <x:c r="A71" s="8" t="s">
        <x:v>785</x:v>
      </x:c>
      <x:c r="B71" s="7" t="s">
        <x:v>786</x:v>
      </x:c>
      <x:c r="C71" s="7" t="s">
        <x:v>787</x:v>
      </x:c>
      <x:c r="D71" s="9">
        <x:v>1</x:v>
      </x:c>
      <x:c r="E71" s="10"/>
    </x:row>
    <x:row r="72" ht="28" customHeight="1">
      <x:c r="A72" s="8" t="s">
        <x:v>788</x:v>
      </x:c>
      <x:c r="B72" s="7" t="s">
        <x:v>789</x:v>
      </x:c>
      <x:c r="C72" s="7" t="s">
        <x:v>790</x:v>
      </x:c>
      <x:c r="D72" s="9">
        <x:v>7</x:v>
      </x:c>
      <x:c r="E72" s="10" t="s">
        <x:v>791</x:v>
      </x:c>
    </x:row>
    <x:row r="73" ht="28" customHeight="1">
      <x:c r="A73" s="8" t="s">
        <x:v>792</x:v>
      </x:c>
      <x:c r="B73" s="7" t="s">
        <x:v>793</x:v>
      </x:c>
      <x:c r="C73" s="7" t="s">
        <x:v>794</x:v>
      </x:c>
      <x:c r="D73" s="9">
        <x:v>1</x:v>
      </x:c>
      <x:c r="E73" s="10" t="s">
        <x:v>795</x:v>
      </x:c>
    </x:row>
    <x:row r="74" ht="28" customHeight="1">
      <x:c r="A74" s="8" t="s">
        <x:v>796</x:v>
      </x:c>
      <x:c r="B74" s="7" t="s">
        <x:v>797</x:v>
      </x:c>
      <x:c r="C74" s="7" t="s">
        <x:v>595</x:v>
      </x:c>
      <x:c r="D74" s="9">
        <x:v>1</x:v>
      </x:c>
      <x:c r="E74" s="10" t="s">
        <x:v>798</x:v>
      </x:c>
    </x:row>
    <x:row r="75" ht="28" customHeight="1">
      <x:c r="A75" s="8" t="s">
        <x:v>799</x:v>
      </x:c>
      <x:c r="B75" s="7" t="s">
        <x:v>800</x:v>
      </x:c>
      <x:c r="C75" s="7" t="s">
        <x:v>710</x:v>
      </x:c>
      <x:c r="D75" s="9">
        <x:v>1</x:v>
      </x:c>
      <x:c r="E75" s="10"/>
    </x:row>
    <x:row r="76" ht="28" customHeight="1">
      <x:c r="A76" s="8" t="s">
        <x:v>801</x:v>
      </x:c>
      <x:c r="B76" s="7" t="s">
        <x:v>802</x:v>
      </x:c>
      <x:c r="C76" s="7" t="s">
        <x:v>679</x:v>
      </x:c>
      <x:c r="D76" s="9">
        <x:v>1</x:v>
      </x:c>
      <x:c r="E76" s="10" t="s">
        <x:v>803</x:v>
      </x:c>
    </x:row>
    <x:row r="77" ht="28" customHeight="1">
      <x:c r="A77" s="8" t="s">
        <x:v>804</x:v>
      </x:c>
      <x:c r="B77" s="7" t="s">
        <x:v>805</x:v>
      </x:c>
      <x:c r="C77" s="7" t="s">
        <x:v>787</x:v>
      </x:c>
      <x:c r="D77" s="9">
        <x:v>1</x:v>
      </x:c>
      <x:c r="E77" s="10" t="s">
        <x:v>806</x:v>
      </x:c>
    </x:row>
    <x:row r="78" ht="28" customHeight="1">
      <x:c r="A78" s="8" t="s">
        <x:v>807</x:v>
      </x:c>
      <x:c r="B78" s="7" t="s">
        <x:v>808</x:v>
      </x:c>
      <x:c r="C78" s="7" t="s">
        <x:v>584</x:v>
      </x:c>
      <x:c r="D78" s="9">
        <x:v>2</x:v>
      </x:c>
      <x:c r="E78" s="10" t="s">
        <x:v>809</x:v>
      </x:c>
    </x:row>
    <x:row r="79" ht="28" customHeight="1">
      <x:c r="A79" s="8" t="s">
        <x:v>810</x:v>
      </x:c>
      <x:c r="B79" s="7" t="s">
        <x:v>811</x:v>
      </x:c>
      <x:c r="C79" s="7" t="s">
        <x:v>679</x:v>
      </x:c>
      <x:c r="D79" s="9">
        <x:v>1</x:v>
      </x:c>
      <x:c r="E79" s="10"/>
    </x:row>
    <x:row r="80" ht="28" customHeight="1">
      <x:c r="A80" s="8" t="s">
        <x:v>812</x:v>
      </x:c>
      <x:c r="B80" s="7" t="s">
        <x:v>813</x:v>
      </x:c>
      <x:c r="C80" s="7" t="s">
        <x:v>814</x:v>
      </x:c>
      <x:c r="D80" s="9">
        <x:v>1</x:v>
      </x:c>
      <x:c r="E80" s="10" t="s">
        <x:v>815</x:v>
      </x:c>
    </x:row>
    <x:row r="81" ht="28" customHeight="1">
      <x:c r="A81" s="8" t="s">
        <x:v>816</x:v>
      </x:c>
      <x:c r="B81" s="7" t="s">
        <x:v>165</x:v>
      </x:c>
      <x:c r="C81" s="7" t="str">
        <x:v>#001, #002, #003, #004, #005, #006, #007, #008, #009, #010, #011, #012, #013, #014, #015, #017, #018, #019, #020, #021, #022, #023, #024, #025, #026, #027, #028, #029, #030, #031, #032, #033, #034, #035, #036, #037, #038, #039, #041, #042, #043, #044, #045, #046, #047, #048, #049, #050, #051, #052, #053, #054, #055, #056, #057, #058, #059, #060, #061, #062, #063, #064, #065, #066, #067, #068, #069, #070, #071, #072, #073, #074, #075, #076, #077, #078, #079, #080, #081, #082</x:v>
      </x:c>
      <x:c r="D81" s="9" t="n">
        <x:v>80</x:v>
      </x:c>
      <x:c r="E81" s="10" t="s">
        <x:v>817</x:v>
      </x:c>
    </x:row>
    <x:row r="82" ht="28" customHeight="1">
      <x:c r="A82" s="8" t="s">
        <x:v>818</x:v>
      </x:c>
      <x:c r="B82" s="7" t="s">
        <x:v>819</x:v>
      </x:c>
      <x:c r="C82" s="7" t="s">
        <x:v>820</x:v>
      </x:c>
      <x:c r="D82" s="9">
        <x:v>8</x:v>
      </x:c>
      <x:c r="E82" s="10" t="s">
        <x:v>821</x:v>
      </x:c>
    </x:row>
    <x:row r="83" ht="28" customHeight="1">
      <x:c r="A83" s="8" t="s">
        <x:v>822</x:v>
      </x:c>
      <x:c r="B83" s="7" t="s">
        <x:v>823</x:v>
      </x:c>
      <x:c r="C83" s="7" t="s">
        <x:v>602</x:v>
      </x:c>
      <x:c r="D83" s="9">
        <x:v>1</x:v>
      </x:c>
      <x:c r="E83" s="10"/>
    </x:row>
    <x:row r="84" ht="28" customHeight="1">
      <x:c r="A84" s="8" t="s">
        <x:v>824</x:v>
      </x:c>
      <x:c r="B84" s="7" t="s">
        <x:v>825</x:v>
      </x:c>
      <x:c r="C84" s="7" t="s">
        <x:v>826</x:v>
      </x:c>
      <x:c r="D84" s="9">
        <x:v>1</x:v>
      </x:c>
      <x:c r="E84" s="10"/>
    </x:row>
    <x:row r="85" ht="28" customHeight="1">
      <x:c r="A85" s="8" t="s">
        <x:v>827</x:v>
      </x:c>
      <x:c r="B85" s="7" t="s">
        <x:v>828</x:v>
      </x:c>
      <x:c r="C85" s="7" t="s">
        <x:v>605</x:v>
      </x:c>
      <x:c r="D85" s="9">
        <x:v>1</x:v>
      </x:c>
      <x:c r="E85" s="10" t="s">
        <x:v>829</x:v>
      </x:c>
    </x:row>
    <x:row r="86" ht="28" customHeight="1">
      <x:c r="A86" s="8" t="s">
        <x:v>830</x:v>
      </x:c>
      <x:c r="B86" s="7" t="s">
        <x:v>831</x:v>
      </x:c>
      <x:c r="C86" s="7" t="s">
        <x:v>832</x:v>
      </x:c>
      <x:c r="D86" s="9">
        <x:v>1</x:v>
      </x:c>
      <x:c r="E86" s="10" t="s">
        <x:v>833</x:v>
      </x:c>
    </x:row>
    <x:row r="87" ht="28" customHeight="1">
      <x:c r="A87" s="8" t="s">
        <x:v>834</x:v>
      </x:c>
      <x:c r="B87" s="7" t="s">
        <x:v>835</x:v>
      </x:c>
      <x:c r="C87" s="7" t="s">
        <x:v>836</x:v>
      </x:c>
      <x:c r="D87" s="9">
        <x:v>1</x:v>
      </x:c>
      <x:c r="E87" s="10" t="s">
        <x:v>837</x:v>
      </x:c>
    </x:row>
    <x:row r="88" ht="28" customHeight="1">
      <x:c r="A88" s="8" t="s">
        <x:v>838</x:v>
      </x:c>
      <x:c r="B88" s="7" t="s">
        <x:v>839</x:v>
      </x:c>
      <x:c r="C88" s="7" t="s">
        <x:v>710</x:v>
      </x:c>
      <x:c r="D88" s="9">
        <x:v>1</x:v>
      </x:c>
      <x:c r="E88" s="10"/>
    </x:row>
    <x:row r="89" ht="28" customHeight="1">
      <x:c r="A89" s="8" t="s">
        <x:v>840</x:v>
      </x:c>
      <x:c r="B89" s="7" t="s">
        <x:v>841</x:v>
      </x:c>
      <x:c r="C89" s="7" t="s">
        <x:v>626</x:v>
      </x:c>
      <x:c r="D89" s="9">
        <x:v>1</x:v>
      </x:c>
      <x:c r="E89" s="10"/>
    </x:row>
    <x:row r="90" ht="28" customHeight="1">
      <x:c r="A90" s="8" t="s">
        <x:v>842</x:v>
      </x:c>
      <x:c r="B90" s="7" t="s">
        <x:v>843</x:v>
      </x:c>
      <x:c r="C90" s="7" t="s">
        <x:v>754</x:v>
      </x:c>
      <x:c r="D90" s="9">
        <x:v>3</x:v>
      </x:c>
      <x:c r="E90" s="10" t="s">
        <x:v>844</x:v>
      </x:c>
    </x:row>
    <x:row r="91" ht="28" customHeight="1">
      <x:c r="A91" s="8" t="s">
        <x:v>845</x:v>
      </x:c>
      <x:c r="B91" s="7" t="s">
        <x:v>846</x:v>
      </x:c>
      <x:c r="C91" s="7" t="s">
        <x:v>847</x:v>
      </x:c>
      <x:c r="D91" s="9">
        <x:v>1</x:v>
      </x:c>
      <x:c r="E91" s="10"/>
    </x:row>
    <x:row r="92" ht="28" customHeight="1">
      <x:c r="A92" s="8" t="s">
        <x:v>848</x:v>
      </x:c>
      <x:c r="B92" s="7" t="s">
        <x:v>849</x:v>
      </x:c>
      <x:c r="C92" s="7" t="s">
        <x:v>850</x:v>
      </x:c>
      <x:c r="D92" s="9">
        <x:v>3</x:v>
      </x:c>
      <x:c r="E92" s="10" t="s">
        <x:v>851</x:v>
      </x:c>
    </x:row>
    <x:row r="93" ht="28" customHeight="1">
      <x:c r="A93" s="8" t="s">
        <x:v>852</x:v>
      </x:c>
      <x:c r="B93" s="7" t="s">
        <x:v>853</x:v>
      </x:c>
      <x:c r="C93" s="7" t="s">
        <x:v>787</x:v>
      </x:c>
      <x:c r="D93" s="9">
        <x:v>1</x:v>
      </x:c>
      <x:c r="E93" s="10"/>
    </x:row>
    <x:row r="94" ht="28" customHeight="1">
      <x:c r="A94" s="8" t="s">
        <x:v>854</x:v>
      </x:c>
      <x:c r="B94" s="7" t="s">
        <x:v>855</x:v>
      </x:c>
      <x:c r="C94" s="7" t="s">
        <x:v>679</x:v>
      </x:c>
      <x:c r="D94" s="9">
        <x:v>1</x:v>
      </x:c>
      <x:c r="E94" s="10" t="s">
        <x:v>856</x:v>
      </x:c>
    </x:row>
    <x:row r="95" ht="28" customHeight="1">
      <x:c r="A95" s="8" t="s">
        <x:v>857</x:v>
      </x:c>
      <x:c r="B95" s="7" t="s">
        <x:v>858</x:v>
      </x:c>
      <x:c r="C95" s="7" t="s">
        <x:v>676</x:v>
      </x:c>
      <x:c r="D95" s="9">
        <x:v>1</x:v>
      </x:c>
      <x:c r="E95" s="10"/>
    </x:row>
    <x:row r="96" ht="28" customHeight="1">
      <x:c r="A96" s="8" t="s">
        <x:v>859</x:v>
      </x:c>
      <x:c r="B96" s="7" t="s">
        <x:v>860</x:v>
      </x:c>
      <x:c r="C96" s="7" t="s">
        <x:v>861</x:v>
      </x:c>
      <x:c r="D96" s="9">
        <x:v>4</x:v>
      </x:c>
      <x:c r="E96" s="10" t="s">
        <x:v>862</x:v>
      </x:c>
    </x:row>
    <x:row r="97" ht="28" customHeight="1">
      <x:c r="A97" s="8" t="s">
        <x:v>863</x:v>
      </x:c>
      <x:c r="B97" s="7" t="s">
        <x:v>864</x:v>
      </x:c>
      <x:c r="C97" s="7" t="s">
        <x:v>826</x:v>
      </x:c>
      <x:c r="D97" s="9">
        <x:v>1</x:v>
      </x:c>
      <x:c r="E97" s="10" t="s">
        <x:v>865</x:v>
      </x:c>
    </x:row>
    <x:row r="98">
      <x:c r="A98" t="s">
        <x:v>866</x:v>
      </x:c>
      <x:c r="B98" t="s">
        <x:v>867</x:v>
      </x:c>
      <x:c r="C98" t="s">
        <x:v>868</x:v>
      </x:c>
      <x:c r="D98">
        <x:v>1</x:v>
      </x:c>
    </x:row>
  </x:sheetData>
  <x:mergeCells>
    <x:mergeCell ref="A1:E1"/>
    <x:mergeCell ref="A2:E2"/>
  </x:mergeCells>
  <x:conditionalFormatting sqref="J5:J97">
    <x:cfRule type="containsText" dxfId="1" priority="1" operator="containsText" text="Linked"/>
    <x:cfRule type="containsText" dxfId="0" priority="2" operator="containsText" text="Missing"/>
  </x:conditionalFormatting>
  <x:dataValidations count="1">
    <x:dataValidation type="custom" sqref="E5:E97">
      <x:formula1>OR(E5="",LEFT(E5,8)="https://")</x:formula1>
    </x:dataValidation>
  </x:dataValidations>
  <x:hyperlinks>
    <x:hyperlink xmlns:r="http://schemas.openxmlformats.org/officeDocument/2006/relationships" ref="E40" r:id="R330205f6308141a0"/>
    <x:hyperlink xmlns:r="http://schemas.openxmlformats.org/officeDocument/2006/relationships" ref="E41" r:id="R177df26fc7f54b34"/>
  </x:hyperlinks>
  <x:pageMargins left="0.7" right="0.7" top="0.75" bottom="0.75" header="0.3" footer="0.3"/>
  <x:tableParts count="1">
    <x:tablePart xmlns:r="http://schemas.openxmlformats.org/officeDocument/2006/relationships" r:id="R0673638f48724e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6"/>
  <x:cols>
    <x:col min="1" max="1" width="16" customWidth="1"/>
    <x:col min="2" max="4" width="56" customWidth="1"/>
  </x:cols>
  <x:sheetData>
    <x:row r="1" ht="38" customHeight="1">
      <x:c r="A1" s="18" t="s">
        <x:v>869</x:v>
      </x:c>
      <x:c r="B1" s="18"/>
      <x:c r="C1" s="18"/>
      <x:c r="D1" s="18"/>
    </x:row>
    <x:row r="2" ht="34" customHeight="1">
      <x:c r="A2" s="19" t="str">
        <x:v>One row per numbered hackathon. Add only posts that clearly document the relevant build or event.</x:v>
      </x:c>
      <x:c r="B2" s="19"/>
      <x:c r="C2" s="19"/>
      <x:c r="D2" s="19"/>
    </x:row>
    <x:row r="3">
      <x:c r="A3" t="str">
        <x:v>Hackathon #</x:v>
      </x:c>
      <x:c r="B3" t="str">
        <x:v>LinkedIn</x:v>
      </x:c>
      <x:c r="C3" t="str">
        <x:v>Instagram</x:v>
      </x:c>
      <x:c r="D3" t="str">
        <x:v>Facebook</x:v>
      </x:c>
    </x:row>
    <x:row r="4" ht="84" customHeight="1">
      <x:c r="A4" s="8" t="str">
        <x:v>#001</x:v>
      </x:c>
      <x:c r="B4" s="10"/>
      <x:c r="C4" s="10"/>
      <x:c r="D4" s="10" t="str">
        <x:v>https://www.facebook.com/sayyid.iskandar/posts/pfbid0ogQdpWx2LUNArSKAKKimACFr4B4h9F45WdQcr5S6z5GY2zjj8iLgJ2sZNPWS5Jfzl
https://www.facebook.com/sayyid.iskandar/posts/pfbid0JuMHrNyVuL8p2rXodooSC2BMtyKUoxQykEgWGwQWAahSV1WBTqc32gN6xbHj3vPHl</x:v>
      </x:c>
    </x:row>
    <x:row r="5" ht="28" customHeight="1">
      <x:c r="A5" s="8" t="str">
        <x:v>#002</x:v>
      </x:c>
      <x:c r="B5" s="10"/>
      <x:c r="C5" s="10"/>
      <x:c r="D5" s="10"/>
    </x:row>
    <x:row r="6" ht="84" customHeight="1">
      <x:c r="A6" s="8" t="str">
        <x:v>#003</x:v>
      </x:c>
      <x:c r="B6" s="10"/>
      <x:c r="C6" s="10"/>
      <x:c r="D6" s="10" t="str">
        <x:v>https://www.facebook.com/sayyid.iskandar/posts/pfbid02Pe825qMCQjUtnq2pV3hrWkjA4M4d84rnu5A5EcKpJvVgUcryDreMbBctzf1tfRmUl
https://www.facebook.com/sayyid.iskandar/posts/pfbid02cFPjLu46modzujHU2tLgNSXrfdTdnXLLAm35UdVFj8UU7YsW9KQWLoXJinq2ahDxl</x:v>
      </x:c>
    </x:row>
    <x:row r="7" ht="120" customHeight="1">
      <x:c r="A7" s="8" t="str">
        <x:v>#004</x:v>
      </x:c>
      <x:c r="B7" s="10"/>
      <x:c r="C7" s="10"/>
      <x:c r="D7" s="10" t="str">
        <x:v>https://www.facebook.com/sayyid.iskandar/posts/pfbid02QfCpBUfGf9gB7XUei4Ae1drQUUNTGB4kZ9YapS9UFHoRgZraHtLAxAH8ZFwEhDUjl
https://www.facebook.com/sayyid.iskandar/posts/pfbid02xWVaKc162oHH24BsD74ahzCfmm8sxyfUve5BQx6QSGWP4ui1qZ8jFyFW5y7YATQDl
https://www.facebook.com/sayyid.iskandar/videos/10210289416564568</x:v>
      </x:c>
    </x:row>
    <x:row r="8" ht="48" customHeight="1">
      <x:c r="A8" s="8" t="str">
        <x:v>#005</x:v>
      </x:c>
      <x:c r="B8" s="10"/>
      <x:c r="C8" s="10"/>
      <x:c r="D8" s="10" t="str">
        <x:v>https://www.facebook.com/sayyid.iskandar/posts/pfbid02X4jiUxGYyFQLfWEU3hXSYcFXApxW1jkvmFrymrxJMs8SLy6DFkGs18d8r79RvMN3l</x:v>
      </x:c>
    </x:row>
    <x:row r="9" ht="28" customHeight="1">
      <x:c r="A9" s="8" t="str">
        <x:v>#006</x:v>
      </x:c>
      <x:c r="B9" s="10"/>
      <x:c r="C9" s="10"/>
      <x:c r="D9" s="10"/>
    </x:row>
    <x:row r="10" ht="48" customHeight="1">
      <x:c r="A10" s="8" t="str">
        <x:v>#007</x:v>
      </x:c>
      <x:c r="B10" s="10"/>
      <x:c r="C10" s="10"/>
      <x:c r="D10" s="10" t="str">
        <x:v>https://www.facebook.com/sayyid.iskandar/posts/pfbid02NBhicQaWczUn66QfNweW7URQXUZKKAcsg3eTgoJCqCwJW9F6MJtmCUxpTPrwVxoQl</x:v>
      </x:c>
    </x:row>
    <x:row r="11" ht="84" customHeight="1">
      <x:c r="A11" s="8" t="str">
        <x:v>#008</x:v>
      </x:c>
      <x:c r="B11" s="10"/>
      <x:c r="C11" s="10"/>
      <x:c r="D11" s="10" t="str">
        <x:v>https://www.facebook.com/sayyid.iskandar/posts/pfbid0uwy9BCTkt3XqZNcBiidhqdL2GSWbMeJNGDfiKniH3j4ti4TcVCLHwCTXjB51cR8Ql
https://www.facebook.com/sayyid.iskandar/posts/pfbid026kQ2whd21UBFZF4GSUKfv9FKKAvpvcwcMUSdFRGK2K6KZSkyMbFU3UCdxU3suEv2l</x:v>
      </x:c>
    </x:row>
    <x:row r="12" ht="48" customHeight="1">
      <x:c r="A12" s="8" t="str">
        <x:v>#009</x:v>
      </x:c>
      <x:c r="B12" s="10"/>
      <x:c r="C12" s="10"/>
      <x:c r="D12" s="10" t="str">
        <x:v>https://www.facebook.com/sayyid.iskandar/posts/pfbid0YHWL1WEfz9ENeK6XvwKpywbbHukJhTSJmUzxmPmuohjWXK4GM2ckM1enzRRuHGNHl</x:v>
      </x:c>
    </x:row>
    <x:row r="13" ht="192" customHeight="1">
      <x:c r="A13" s="8" t="str">
        <x:v>#010</x:v>
      </x:c>
      <x:c r="B13" s="10"/>
      <x:c r="C13" s="10"/>
      <x:c r="D13" s="10" t="str">
        <x:v>https://www.facebook.com/sayyid.iskandar/posts/pfbid02yZ73n5t1GsZz7USH3NZvSkmpsGs7Yk3DV6UU7aWqAmRDBhc69prZQKpyGtdVq1X6l
https://www.facebook.com/sayyid.iskandar/posts/pfbid02oymiDX42WvPTV4h9rMKKgNsHByjdj3gUXFp5fwEr7Qic8byjMyRsgccTrtaVBoHcl
https://www.facebook.com/sayyid.iskandar/posts/pfbid0FBLFEGUBkNjnSkzyy8uaHp4AnkKKaRkRGpnUw4UrgEEJYUm5hMm8eeqtyF2V3P2ol
https://www.facebook.com/sayyid.iskandar/posts/pfbid02aqvRmi2EDB3n7ToYfyFX3BJsA4hwrzqCJ4dKEHgVeR9xLkDjBhGmeYdPcS8JMY1fl
https://www.facebook.com/sayyid.iskandar/posts/pfbid0omyhn65dXJyzhuUS8fJqYHFhTLXv7hJBCPsqzvZTCxwtHtvFHtVng2i8a4V47kHRl</x:v>
      </x:c>
    </x:row>
    <x:row r="14" ht="84" customHeight="1">
      <x:c r="A14" s="8" t="str">
        <x:v>#011</x:v>
      </x:c>
      <x:c r="B14" s="10"/>
      <x:c r="C14" s="10" t="str">
        <x:v>https://www.instagram.com/p/BZsdBDyAuNk/</x:v>
      </x:c>
      <x:c r="D14" s="10" t="str">
        <x:v>https://www.facebook.com/sayyid.iskandar/posts/pfbid0aBGBjBkAzz7p2g9as9mHpRwCHhfiZiCChneX1PgBXtJhM56TumXpqyjV27YJhJB9l
https://www.facebook.com/sayyid.iskandar/posts/pfbid0jcQTaYy48XkBSZLPBAVVtyXueuJXGCdUSuoMJWJDdhunTph6aCxCSFcyiaSiFTqwl</x:v>
      </x:c>
    </x:row>
    <x:row r="15" ht="120" customHeight="1">
      <x:c r="A15" s="8" t="str">
        <x:v>#012</x:v>
      </x:c>
      <x:c r="B15" s="10"/>
      <x:c r="C15" s="10"/>
      <x:c r="D15" s="10" t="str">
        <x:v>https://www.facebook.com/sayyid.iskandar/posts/pfbid0AkMuVPaVJ3mMYbfBosv7ECbHCAuVC52VvoABN6MSUJkcE9JQTM9Ye6UYv5s7BcS4l
https://www.facebook.com/sayyid.iskandar/posts/pfbid0Q25FVnx4SpaoVkey3seYSqorseNZt8bHVRza8uheMBkUaYdBhokcNDac6JzawHx9l
https://www.facebook.com/sayyid.iskandar/videos/10213312919990264</x:v>
      </x:c>
    </x:row>
    <x:row r="16" ht="48" customHeight="1">
      <x:c r="A16" s="8" t="str">
        <x:v>#013</x:v>
      </x:c>
      <x:c r="B16" s="10"/>
      <x:c r="C16" s="10"/>
      <x:c r="D16" s="10" t="str">
        <x:v>https://www.facebook.com/sayyid.iskandar/posts/pfbid03ZwgHrQwG7GnWAYRUSaYZgujnXA7aeX99KJygABcoiSmRp6xHTepPaTkHs1M9dahl</x:v>
      </x:c>
    </x:row>
    <x:row r="17" ht="48" customHeight="1">
      <x:c r="A17" s="8" t="str">
        <x:v>#014</x:v>
      </x:c>
      <x:c r="B17" s="10"/>
      <x:c r="C17" s="10" t="str">
        <x:v>https://www.instagram.com/p/BgWUFk4FOSa/</x:v>
      </x:c>
      <x:c r="D17" s="10" t="str">
        <x:v>https://www.facebook.com/sayyid.iskandar/posts/pfbid0Xat33M7cUWfScT1SdqyxFqd8KJ4BJ9R3WswJ5E3PjjuPGnNbJHVRH1pMku1RVyGJl</x:v>
      </x:c>
    </x:row>
    <x:row r="18" ht="48" customHeight="1">
      <x:c r="A18" s="8" t="str">
        <x:v>#015</x:v>
      </x:c>
      <x:c r="B18" s="10"/>
      <x:c r="C18" s="10" t="str">
        <x:v>https://www.instagram.com/p/Bgvs2dLAeue/</x:v>
      </x:c>
      <x:c r="D18" s="10" t="str">
        <x:v>https://www.facebook.com/sayyid.iskandar/posts/pfbid08YUaE4nQB8T2iQpErGFfhgivhch2yHFAzkE7hUghCvzQRFSom2RwrmFjr1ZsULuAl</x:v>
      </x:c>
    </x:row>
    <x:row r="19" ht="48" customHeight="1">
      <x:c r="A19" s="8" t="str">
        <x:v>#016</x:v>
      </x:c>
      <x:c r="B19" s="10"/>
      <x:c r="C19" s="10"/>
      <x:c r="D19" s="10" t="str">
        <x:v>https://www.facebook.com/sayyid.iskandar/posts/pfbid031P3D6fyPnz9AMMiUkRgwJDxvgY2rKVYRf4uRbxSB3RvhWp69HW7a4ScTXEmUPkawl</x:v>
      </x:c>
    </x:row>
    <x:row r="20" ht="48" customHeight="1">
      <x:c r="A20" s="8" t="str">
        <x:v>#017</x:v>
      </x:c>
      <x:c r="B20" s="10"/>
      <x:c r="C20" s="10" t="str">
        <x:v>https://www.instagram.com/p/BjogOfOA6tG/</x:v>
      </x:c>
      <x:c r="D20" s="10" t="str">
        <x:v>https://www.facebook.com/sayyid.iskandar/posts/pfbid02bJgJZMw1fENXuobQA37tSYs5LT55UpQSVD2viVVp85hpK1j74S34LgitXSTRGbjhl</x:v>
      </x:c>
    </x:row>
    <x:row r="21" ht="84" customHeight="1">
      <x:c r="A21" s="8" t="str">
        <x:v>#018</x:v>
      </x:c>
      <x:c r="B21" s="10"/>
      <x:c r="C21" s="10" t="str">
        <x:v>https://www.instagram.com/p/BngqOFTggiI/
https://www.instagram.com/p/Bngpa4igs3o/</x:v>
      </x:c>
      <x:c r="D21" s="10" t="str">
        <x:v>https://www.facebook.com/sayyid.iskandar/posts/pfbid02yN5KYrHsMAbJCTR6QnnykwpRyhL6EmGvm1Gb5PqXbRqGvE8fuSc5TX1VHUnhGTeHl
https://www.facebook.com/sayyid.iskandar/posts/pfbid0rH7p6CV1VJVQearxzSiYzVtvNdgAE9wZke1a958NA2VHnjmex1vqqNa8sWCrVPfJl</x:v>
      </x:c>
    </x:row>
    <x:row r="22" ht="84" customHeight="1">
      <x:c r="A22" s="8" t="str">
        <x:v>#019</x:v>
      </x:c>
      <x:c r="B22" s="10"/>
      <x:c r="C22" s="10" t="str">
        <x:v>https://www.instagram.com/p/Bo6FW7zg0Zj/</x:v>
      </x:c>
      <x:c r="D22" s="10" t="str">
        <x:v>https://www.facebook.com/sayyid.iskandar/posts/pfbid0XfkiN31qdKWMbDrbnSQrUYRzD8ZFTUwFhM66rZUfKVZvU3Z48DQip8YpegHgjpwl
https://www.facebook.com/sayyid.iskandar/posts/pfbid02r8P3RzqydDWjdVSBTWbzmxh5w6otxAkvsk4yqSYG5LY2obqFW3xdA1k3c9kN7A7ml</x:v>
      </x:c>
    </x:row>
    <x:row r="23" ht="84" customHeight="1">
      <x:c r="A23" s="8" t="str">
        <x:v>#020</x:v>
      </x:c>
      <x:c r="B23" s="10"/>
      <x:c r="C23" s="10" t="str">
        <x:v>https://www.instagram.com/p/BpMd-mignvt/
https://www.instagram.com/p/BpMRvP0g435/</x:v>
      </x:c>
      <x:c r="D23" s="10" t="str">
        <x:v>https://www.facebook.com/sayyid.iskandar/posts/pfbid0GRJUVpqfYh8v3TGgo1chLQejmF5BrcMV28WwCyVEUqiuc5tgtkdMCa5EwJ1Wzzosl
https://www.facebook.com/sayyid.iskandar/posts/pfbid0U9F9GsTbQvRFAGPqJj8no2Scec7FAvv344uzFx7vBcanYXsVRdo4DzhkeG7AEihBl</x:v>
      </x:c>
    </x:row>
    <x:row r="24" ht="28" customHeight="1">
      <x:c r="A24" s="8" t="str">
        <x:v>#021</x:v>
      </x:c>
      <x:c r="B24" s="10"/>
      <x:c r="C24" s="10" t="str">
        <x:v>https://www.instagram.com/p/BqADJkbAn8x/</x:v>
      </x:c>
      <x:c r="D24" s="10"/>
    </x:row>
    <x:row r="25" ht="48" customHeight="1">
      <x:c r="A25" s="8" t="str">
        <x:v>#022</x:v>
      </x:c>
      <x:c r="B25" s="10"/>
      <x:c r="C25" s="10"/>
      <x:c r="D25" s="10" t="str">
        <x:v>https://www.facebook.com/sayyid.iskandar/posts/pfbid02CYDgW956apDh6vS5rkroqZHDReuyuC8WigQRYaWjE4N88CoxpAggTqKSPHfwUniVl</x:v>
      </x:c>
    </x:row>
    <x:row r="26" ht="48" customHeight="1">
      <x:c r="A26" s="8" t="str">
        <x:v>#023</x:v>
      </x:c>
      <x:c r="B26" s="10"/>
      <x:c r="C26" s="10" t="str">
        <x:v>https://www.instagram.com/p/Bs2f8FHHXNo/</x:v>
      </x:c>
      <x:c r="D26" s="10" t="str">
        <x:v>https://www.facebook.com/sayyid.iskandar/posts/pfbid0pFAv6Z1WgvZpRv3mo5HSBKStwAfiFbu5ENAQerm2keCry85F3oVcxSAgGAER4ELFl</x:v>
      </x:c>
    </x:row>
    <x:row r="27" ht="48" customHeight="1">
      <x:c r="A27" s="8" t="str">
        <x:v>#024</x:v>
      </x:c>
      <x:c r="B27" s="10"/>
      <x:c r="C27" s="10"/>
      <x:c r="D27" s="10" t="str">
        <x:v>https://www.facebook.com/sayyid.iskandar/posts/pfbid02tsVvk3rWRKGWEnUdozMcJkjummCZ52YEuZY3tRgcyUBuGiuvKPcaXC9wePtfk4awl</x:v>
      </x:c>
    </x:row>
    <x:row r="28" ht="48" customHeight="1">
      <x:c r="A28" s="8" t="str">
        <x:v>#025</x:v>
      </x:c>
      <x:c r="B28" s="10"/>
      <x:c r="C28" s="10" t="str">
        <x:v>https://www.instagram.com/p/Bxo5Ka1FLrR/</x:v>
      </x:c>
      <x:c r="D28" s="10" t="str">
        <x:v>https://www.facebook.com/sayyid.iskandar/posts/pfbid02384PfN15y2n6QGJpDhQfXpWBd3Awwbi3azfoptEfu6K4DDqGQTME56XoRNF459Z1l</x:v>
      </x:c>
    </x:row>
    <x:row r="29" ht="28" customHeight="1">
      <x:c r="A29" s="8" t="str">
        <x:v>#026</x:v>
      </x:c>
      <x:c r="B29" s="10"/>
      <x:c r="C29" s="10"/>
      <x:c r="D29" s="10" t="str">
        <x:v>https://www.facebook.com/share/p/18y8TAM2dB/</x:v>
      </x:c>
    </x:row>
    <x:row r="30" ht="28" customHeight="1">
      <x:c r="A30" s="8" t="str">
        <x:v>#027</x:v>
      </x:c>
      <x:c r="B30" s="10"/>
      <x:c r="C30" s="10"/>
      <x:c r="D30" s="10" t="str">
        <x:v>https://www.facebook.com/share/p/1F5LDVBjUj/</x:v>
      </x:c>
    </x:row>
    <x:row r="31" ht="28" customHeight="1">
      <x:c r="A31" s="8" t="str">
        <x:v>#028</x:v>
      </x:c>
      <x:c r="B31" s="10"/>
      <x:c r="C31" s="10" t="str">
        <x:v>https://www.instagram.com/p/B2EYk1KluTZ/
https://www.instagram.com/p/B2JzcFglegx/</x:v>
      </x:c>
      <x:c r="D31" s="10" t="str">
        <x:v>https://www.facebook.com/sayyid.iskandar/posts/pfbid0rxHXvZDwNWumGZdXFgUnJiu12SW3FUwyTueeejHBw8a6tAGgyLHUFeZB8n2iNhmfl
https://www.facebook.com/sayyid.iskandar/posts/pfbid02YSrksK2xzkZUh8uifPrWYxk6VHt7aMVfcef6vc1AXoauq9GTCUGQQpLDQpbUUAUyl
https://www.facebook.com/share/p/1DSDV99DjY/
https://www.facebook.com/share/p/1HXZcYB6ew/
https://www.facebook.com/share/p/1BiUy52YeW/
https://www.facebook.com/share/p/1QzGUmEibA/
https://www.facebook.com/share/p/19Thtkbyvq/
https://www.facebook.com/share/p/182DHiJcRd/
https://www.facebook.com/share/p/1DeRrdfhWH/
https://www.facebook.com/share/p/1HYmuCRfuP/
https://www.facebook.com/share/p/1JmrdD1Bb7/</x:v>
      </x:c>
    </x:row>
    <x:row r="32" ht="28" customHeight="1">
      <x:c r="A32" s="8" t="str">
        <x:v>#029</x:v>
      </x:c>
      <x:c r="B32" s="10"/>
      <x:c r="C32" s="10"/>
      <x:c r="D32" s="10" t="str">
        <x:v>https://www.facebook.com/sayyid.iskandar/posts/pfbid02HTKxyfqPKL2uR4n9zFFxAzkXbE7FYNjkzzuQpqRpEgeCBzYnqvfko88xe9nDPD4kl
https://www.facebook.com/share/v/1BNrHxPRHz/</x:v>
      </x:c>
    </x:row>
    <x:row r="33" ht="28" customHeight="1">
      <x:c r="A33" s="8" t="str">
        <x:v>#030</x:v>
      </x:c>
      <x:c r="B33" s="10"/>
      <x:c r="C33" s="10"/>
      <x:c r="D33" s="10" t="str">
        <x:v>https://www.facebook.com/sayyid.iskandar/posts/pfbid02T7TywvEM5ypGy8vVEQyJVS1ZAzQns7CGz483NQGZX5CKf1DaCw8P6VbcAFdQmqczl</x:v>
      </x:c>
    </x:row>
    <x:row r="34" ht="28" customHeight="1">
      <x:c r="A34" s="8" t="str">
        <x:v>#031</x:v>
      </x:c>
      <x:c r="B34" s="10"/>
      <x:c r="C34" s="10" t="str">
        <x:v>https://www.instagram.com/p/CrGJq7JvfYS/</x:v>
      </x:c>
      <x:c r="D34" s="10"/>
    </x:row>
    <x:row r="35" ht="28" customHeight="1">
      <x:c r="A35" s="8" t="str">
        <x:v>#032</x:v>
      </x:c>
      <x:c r="B35" s="10"/>
      <x:c r="C35" s="10" t="str">
        <x:v>https://www.instagram.com/p/C0_xx0zRc1u/</x:v>
      </x:c>
      <x:c r="D35" s="10"/>
    </x:row>
    <x:row r="36" ht="28" customHeight="1">
      <x:c r="A36" s="8" t="str">
        <x:v>#033</x:v>
      </x:c>
      <x:c r="B36" s="10"/>
      <x:c r="C36" s="10" t="str">
        <x:v>https://www.instagram.com/p/C1E93kNxOjM/</x:v>
      </x:c>
      <x:c r="D36" s="10"/>
    </x:row>
    <x:row r="37" ht="28" customHeight="1">
      <x:c r="A37" s="8" t="str">
        <x:v>#034</x:v>
      </x:c>
      <x:c r="B37" s="10"/>
      <x:c r="C37" s="10" t="str">
        <x:v>https://www.instagram.com/p/C8MapmzSGnB/</x:v>
      </x:c>
      <x:c r="D37" s="10"/>
    </x:row>
    <x:row r="38" ht="28" customHeight="1">
      <x:c r="A38" s="8" t="str">
        <x:v>#035</x:v>
      </x:c>
      <x:c r="B38" s="10"/>
      <x:c r="C38" s="10" t="str">
        <x:v>https://www.instagram.com/p/DHlaIwwz9Qg/
https://www.instagram.com/p/DHlZp4wTHze/</x:v>
      </x:c>
      <x:c r="D38" s="10"/>
    </x:row>
    <x:row r="39" ht="28" customHeight="1">
      <x:c r="A39" s="8" t="str">
        <x:v>#036</x:v>
      </x:c>
      <x:c r="B39" s="10"/>
      <x:c r="C39" s="10" t="str">
        <x:v>https://www.instagram.com/p/DLBb3yoT412/
https://www.instagram.com/p/DLFWtVrx0_O/
https://www.instagram.com/reel/DLEZ4_LRK_G/
https://www.instagram.com/reel/DLEGXTsTe1y/</x:v>
      </x:c>
      <x:c r="D39" s="10"/>
    </x:row>
    <x:row r="40" ht="28" customHeight="1">
      <x:c r="A40" s="8" t="str">
        <x:v>#037</x:v>
      </x:c>
      <x:c r="B40" s="10"/>
      <x:c r="C40" s="10" t="str">
        <x:v>https://www.instagram.com/p/DLcXTxAxUgg/</x:v>
      </x:c>
      <x:c r="D40" s="10"/>
    </x:row>
    <x:row r="41" ht="48" customHeight="1">
      <x:c r="A41" s="8" t="str">
        <x:v>#038</x:v>
      </x:c>
      <x:c r="B41" s="10"/>
      <x:c r="C41" s="10"/>
      <x:c r="D41" s="10" t="str">
        <x:v>https://www.facebook.com/meetwanwei/posts/pfbid0hpDePCx4TwEv6X4meZFGeaDNuTvKwuBGPh526Dk9UPDXbGQcx81u5vRRMRVjavoWl</x:v>
      </x:c>
    </x:row>
    <x:row r="42" ht="28" customHeight="1">
      <x:c r="A42" s="8" t="str">
        <x:v>#039</x:v>
      </x:c>
      <x:c r="B42" s="10"/>
      <x:c r="C42" s="10" t="str">
        <x:v>https://www.instagram.com/p/DNLa9r_xO3o/</x:v>
      </x:c>
      <x:c r="D42" s="10"/>
    </x:row>
    <x:row r="43" ht="48" customHeight="1">
      <x:c r="A43" s="8" t="str">
        <x:v>#040</x:v>
      </x:c>
      <x:c r="B43" s="10" t="str">
        <x:v>https://www.linkedin.com/feed/update/urn:li:activity:7373307701516427264/</x:v>
      </x:c>
      <x:c r="C43" s="10" t="str">
        <x:v>https://www.instagram.com/p/DOQcqfMk4Wk/
https://www.instagram.com/p/DOVACxLE9PW/
https://www.instagram.com/reel/DOVLDxsE37O/
https://www.instagram.com/reel/DOQFqH8kfeT/</x:v>
      </x:c>
      <x:c r="D43" s="10" t="str">
        <x:v>https://www.facebook.com/meetwanwei/posts/pfbid02fC64ffhqpB8RDBYo11hz17WicCZDaaXkjpTUG7WmZN2Dqb9GJNEP8q9fH87ARNrQl</x:v>
      </x:c>
    </x:row>
    <x:row r="44" ht="28" customHeight="1">
      <x:c r="A44" s="8" t="str">
        <x:v>#041</x:v>
      </x:c>
      <x:c r="B44" s="10"/>
      <x:c r="C44" s="10" t="str">
        <x:v>https://www.instagram.com/p/DO0q1KYky3H/</x:v>
      </x:c>
      <x:c r="D44" s="10"/>
    </x:row>
    <x:row r="45" ht="28" customHeight="1">
      <x:c r="A45" s="8" t="str">
        <x:v>#042</x:v>
      </x:c>
      <x:c r="B45" s="10"/>
      <x:c r="C45" s="10" t="str">
        <x:v>https://www.instagram.com/p/DPOUBvaE3GR/</x:v>
      </x:c>
      <x:c r="D45" s="10"/>
    </x:row>
    <x:row r="46" ht="28" customHeight="1">
      <x:c r="A46" s="8" t="str">
        <x:v>#043</x:v>
      </x:c>
      <x:c r="B46" s="10"/>
      <x:c r="C46" s="10" t="str">
        <x:v>https://www.instagram.com/p/DPbGjobkxFW/</x:v>
      </x:c>
      <x:c r="D46" s="10"/>
    </x:row>
    <x:row r="47" ht="28" customHeight="1">
      <x:c r="A47" s="8" t="str">
        <x:v>#044</x:v>
      </x:c>
      <x:c r="B47" s="10" t="str">
        <x:v>https://www.linkedin.com/feed/update/urn:li:activity:7387523389042843648/</x:v>
      </x:c>
      <x:c r="C47" s="10" t="str">
        <x:v>https://www.instagram.com/p/DP-pSUWjPCS/</x:v>
      </x:c>
      <x:c r="D47" s="10"/>
    </x:row>
    <x:row r="48" ht="28" customHeight="1">
      <x:c r="A48" s="8" t="str">
        <x:v>#045</x:v>
      </x:c>
      <x:c r="B48" s="10"/>
      <x:c r="C48" s="10" t="str">
        <x:v>https://www.instagram.com/reel/DQV0xxIk9ab/</x:v>
      </x:c>
      <x:c r="D48" s="10"/>
    </x:row>
    <x:row r="49" ht="28" customHeight="1">
      <x:c r="A49" s="8" t="str">
        <x:v>#046</x:v>
      </x:c>
      <x:c r="B49" s="10"/>
      <x:c r="C49" s="10" t="str">
        <x:v>https://www.instagram.com/reel/DQjw5Lik-5m/</x:v>
      </x:c>
      <x:c r="D49" s="10"/>
    </x:row>
    <x:row r="50" ht="28" customHeight="1">
      <x:c r="A50" s="8" t="str">
        <x:v>#047</x:v>
      </x:c>
      <x:c r="B50" s="10"/>
      <x:c r="C50" s="10"/>
      <x:c r="D50" s="10"/>
    </x:row>
    <x:row r="51" ht="28" customHeight="1">
      <x:c r="A51" s="8" t="str">
        <x:v>#048</x:v>
      </x:c>
      <x:c r="B51" s="10"/>
      <x:c r="C51" s="10"/>
      <x:c r="D51" s="10"/>
    </x:row>
    <x:row r="52" ht="28" customHeight="1">
      <x:c r="A52" s="8" t="str">
        <x:v>#049</x:v>
      </x:c>
      <x:c r="B52" s="10"/>
      <x:c r="C52" s="10" t="str">
        <x:v>https://www.instagram.com/p/DT49z3cE84y/</x:v>
      </x:c>
      <x:c r="D52" s="10"/>
    </x:row>
    <x:row r="53" ht="28" customHeight="1">
      <x:c r="A53" s="8" t="str">
        <x:v>#050</x:v>
      </x:c>
      <x:c r="B53" s="10" t="str">
        <x:v>https://www.linkedin.com/feed/update/urn:li:activity:7425889935137837056/</x:v>
      </x:c>
      <x:c r="C53" s="10" t="str">
        <x:v>https://www.instagram.com/p/DUdGe1jk_Wh/</x:v>
      </x:c>
      <x:c r="D53" s="10"/>
    </x:row>
    <x:row r="54" ht="28" customHeight="1">
      <x:c r="A54" s="8" t="str">
        <x:v>#051</x:v>
      </x:c>
      <x:c r="B54" s="10"/>
      <x:c r="C54" s="10"/>
      <x:c r="D54" s="10"/>
    </x:row>
    <x:row r="55" ht="28" customHeight="1">
      <x:c r="A55" s="8" t="str">
        <x:v>#052</x:v>
      </x:c>
      <x:c r="B55" s="10"/>
      <x:c r="C55" s="10" t="str">
        <x:v>https://www.instagram.com/p/DVTWt5qE6QA/</x:v>
      </x:c>
      <x:c r="D55" s="10"/>
    </x:row>
    <x:row r="56" ht="28" customHeight="1">
      <x:c r="A56" s="8" t="str">
        <x:v>#053</x:v>
      </x:c>
      <x:c r="B56" s="10"/>
      <x:c r="C56" s="10" t="str">
        <x:v>https://www.instagram.com/p/DVTWt5qE6QA/</x:v>
      </x:c>
      <x:c r="D56" s="10"/>
    </x:row>
    <x:row r="57" ht="28" customHeight="1">
      <x:c r="A57" s="8" t="str">
        <x:v>#054</x:v>
      </x:c>
      <x:c r="B57" s="10" t="str">
        <x:v>https://www.linkedin.com/feed/update/urn:li:activity:7438474540781006848/</x:v>
      </x:c>
      <x:c r="C57" s="10" t="str">
        <x:v>https://www.instagram.com/p/DV0x7PoE18a/</x:v>
      </x:c>
      <x:c r="D57" s="10"/>
    </x:row>
    <x:row r="58" ht="28" customHeight="1">
      <x:c r="A58" s="8" t="str">
        <x:v>#055</x:v>
      </x:c>
      <x:c r="B58" s="10"/>
      <x:c r="C58" s="10" t="str">
        <x:v>https://www.instagram.com/p/DWd1UjUkwSf/</x:v>
      </x:c>
      <x:c r="D58" s="10"/>
    </x:row>
    <x:row r="59" ht="28" customHeight="1">
      <x:c r="A59" s="8" t="str">
        <x:v>#056</x:v>
      </x:c>
      <x:c r="B59" s="10"/>
      <x:c r="C59" s="10"/>
      <x:c r="D59" s="10"/>
    </x:row>
    <x:row r="60" ht="28" customHeight="1">
      <x:c r="A60" s="8" t="str">
        <x:v>#057</x:v>
      </x:c>
      <x:c r="B60" s="10" t="str">
        <x:v>https://www.linkedin.com/feed/update/urn:li:activity:7448758050586521600/</x:v>
      </x:c>
      <x:c r="C60" s="10" t="str">
        <x:v>https://www.instagram.com/p/DW9CxfwE6Ln/
https://www.instagram.com/p/DW_vFeIk0-2/</x:v>
      </x:c>
      <x:c r="D60" s="10"/>
    </x:row>
    <x:row r="61" ht="28" customHeight="1">
      <x:c r="A61" s="8" t="str">
        <x:v>#058</x:v>
      </x:c>
      <x:c r="B61" s="10"/>
      <x:c r="C61" s="10" t="str">
        <x:v>https://www.instagram.com/p/DXRahaqk28d/</x:v>
      </x:c>
      <x:c r="D61" s="10"/>
    </x:row>
    <x:row r="62" ht="48" customHeight="1">
      <x:c r="A62" s="8" t="str">
        <x:v>#059</x:v>
      </x:c>
      <x:c r="B62" s="10" t="str">
        <x:v>https://www.linkedin.com/feed/update/urn:li:activity:7455961388025389056/</x:v>
      </x:c>
      <x:c r="C62" s="10" t="str">
        <x:v>https://www.instagram.com/p/DXg-YyWE5r6/</x:v>
      </x:c>
      <x:c r="D62" s="10" t="str">
        <x:v>https://www.facebook.com/meetwanwei/posts/pfbid0jjHWhKWrctzWV38DchuzkJ3tNtAVQVRiL3CNjebRftgrX8f2Eg1zgWAK2tbssgerl</x:v>
      </x:c>
    </x:row>
    <x:row r="63" ht="28" customHeight="1">
      <x:c r="A63" s="8" t="str">
        <x:v>#060</x:v>
      </x:c>
      <x:c r="B63" s="10" t="str">
        <x:v>https://www.linkedin.com/feed/update/urn:li:activity:7455961388025389056/</x:v>
      </x:c>
      <x:c r="C63" s="10" t="str">
        <x:v>https://www.instagram.com/p/DXwnu_3E2dI/</x:v>
      </x:c>
      <x:c r="D63" s="10"/>
    </x:row>
    <x:row r="64" ht="28" customHeight="1">
      <x:c r="A64" s="8" t="str">
        <x:v>#061</x:v>
      </x:c>
      <x:c r="B64" s="10" t="str">
        <x:v>https://www.linkedin.com/feed/update/urn:li:activity:7455961388025389056/</x:v>
      </x:c>
      <x:c r="C64" s="10" t="str">
        <x:v>https://www.instagram.com/p/DXwqrEOkwoB/
https://www.instagram.com/reel/DXykZomTmXD/</x:v>
      </x:c>
      <x:c r="D64" s="10"/>
    </x:row>
    <x:row r="65" ht="28" customHeight="1">
      <x:c r="A65" s="8" t="str">
        <x:v>#062</x:v>
      </x:c>
      <x:c r="B65" s="10"/>
      <x:c r="C65" s="10" t="str">
        <x:v>https://www.instagram.com/p/DX4HAVzE9WO/</x:v>
      </x:c>
      <x:c r="D65" s="10"/>
    </x:row>
    <x:row r="66" ht="28" customHeight="1">
      <x:c r="A66" s="8" t="str">
        <x:v>#063</x:v>
      </x:c>
      <x:c r="B66" s="10"/>
      <x:c r="C66" s="10"/>
      <x:c r="D66" s="10"/>
    </x:row>
    <x:row r="67" ht="28" customHeight="1">
      <x:c r="A67" s="8" t="str">
        <x:v>#064</x:v>
      </x:c>
      <x:c r="B67" s="10" t="str">
        <x:v>https://www.linkedin.com/feed/update/urn:li:activity:7459414332150534144/</x:v>
      </x:c>
      <x:c r="C67" s="10" t="str">
        <x:v>https://www.instagram.com/p/DYLfGwuk3Xc/</x:v>
      </x:c>
      <x:c r="D67" s="10"/>
    </x:row>
    <x:row r="68" ht="28" customHeight="1">
      <x:c r="A68" s="8" t="str">
        <x:v>#065</x:v>
      </x:c>
      <x:c r="B68" s="10" t="str">
        <x:v>https://www.linkedin.com/feed/update/urn:li:activity:7462661884056416256/</x:v>
      </x:c>
      <x:c r="C68" s="10" t="str">
        <x:v>https://www.instagram.com/p/DYe1dlpE7Af/</x:v>
      </x:c>
      <x:c r="D68" s="10"/>
    </x:row>
    <x:row r="69" ht="28" customHeight="1">
      <x:c r="A69" s="8" t="str">
        <x:v>#066</x:v>
      </x:c>
      <x:c r="B69" s="10" t="str">
        <x:v>https://www.linkedin.com/feed/update/urn:li:activity:7471043781799178240/</x:v>
      </x:c>
      <x:c r="C69" s="10" t="str">
        <x:v>https://www.instagram.com/p/DZc1D4HHbmy/
https://www.instagram.com/p/DZeIbzgRO-n/</x:v>
      </x:c>
      <x:c r="D69" s="10"/>
    </x:row>
    <x:row r="70" ht="28" customHeight="1">
      <x:c r="A70" s="8" t="str">
        <x:v>#067</x:v>
      </x:c>
      <x:c r="B70" s="10" t="str">
        <x:v>https://www.linkedin.com/feed/update/urn:li:activity:7472197868632571905/</x:v>
      </x:c>
      <x:c r="C70" s="10" t="str">
        <x:v>https://www.instagram.com/reel/DZom-hVRIRN/
https://www.instagram.com/reel/DZonQbURE5R/</x:v>
      </x:c>
      <x:c r="D70" s="10"/>
    </x:row>
    <x:row r="71" ht="28" customHeight="1">
      <x:c r="A71" s="8" t="str">
        <x:v>#068</x:v>
      </x:c>
      <x:c r="B71" s="10" t="str">
        <x:v>https://www.linkedin.com/feed/update/urn:li:activity:7480285163512418306/</x:v>
      </x:c>
      <x:c r="C71" s="10" t="str">
        <x:v>https://www.instagram.com/p/DZ3itBVzLwN/
https://www.instagram.com/p/DZ7AtfFndkJ/</x:v>
      </x:c>
      <x:c r="D71" s="10"/>
    </x:row>
    <x:row r="72" ht="28" customHeight="1">
      <x:c r="A72" s="8" t="str">
        <x:v>#069</x:v>
      </x:c>
      <x:c r="B72" s="10"/>
      <x:c r="C72" s="10" t="str">
        <x:v>https://www.instagram.com/p/DZ7Wj9anW7x/</x:v>
      </x:c>
      <x:c r="D72" s="10"/>
    </x:row>
    <x:row r="73" ht="28" customHeight="1">
      <x:c r="A73" s="8" t="str">
        <x:v>#070</x:v>
      </x:c>
      <x:c r="B73" s="10" t="str">
        <x:v>https://www.linkedin.com/feed/update/urn:li:activity:7477508615239585792/</x:v>
      </x:c>
      <x:c r="C73" s="10" t="str">
        <x:v>https://www.instagram.com/p/DaFSqK7k2ce/
https://www.instagram.com/p/DaFSaYHkwPC/
https://www.instagram.com/reel/DaFm4k2zifY/</x:v>
      </x:c>
      <x:c r="D73" s="10"/>
    </x:row>
    <x:row r="74" ht="28" customHeight="1">
      <x:c r="A74" s="8" t="str">
        <x:v>#071</x:v>
      </x:c>
      <x:c r="B74" s="10" t="str">
        <x:v>https://www.linkedin.com/feed/update/urn:li:activity:7482072463900835840/</x:v>
      </x:c>
      <x:c r="C74" s="10" t="str">
        <x:v>https://www.instagram.com/p/Dash2D1k4C2/</x:v>
      </x:c>
      <x:c r="D74" s="10"/>
    </x:row>
    <x:row r="75" ht="28" customHeight="1">
      <x:c r="A75" s="8" t="str">
        <x:v>#072</x:v>
      </x:c>
      <x:c r="B75" s="10" t="str">
        <x:v>https://www.linkedin.com/feed/update/urn:li:activity:7486774772140474368/</x:v>
      </x:c>
      <x:c r="C75" s="10" t="str">
        <x:v>https://www.instagram.com/p/DbN5kZlk0LL/
https://www.instagram.com/reel/DbN4xRaxZY8/
https://www.instagram.com/reel/DbN5OnlRCGQ/</x:v>
      </x:c>
      <x:c r="D75" s="10"/>
    </x:row>
    <x:row r="76" ht="28" customHeight="1">
      <x:c r="A76" s="8" t="str">
        <x:v>#073</x:v>
      </x:c>
      <x:c r="B76" s="10"/>
      <x:c r="C76" s="10" t="str">
        <x:v>https://www.instagram.com/p/DbpmfeiHexb/</x:v>
      </x:c>
      <x:c r="D76" s="10"/>
    </x:row>
    <x:row r="77" ht="28" customHeight="1">
      <x:c r="A77" s="8" t="str">
        <x:v>#074</x:v>
      </x:c>
      <x:c r="B77" s="10" t="str">
        <x:v>https://www.linkedin.com/feed/update/urn:li:activity:7490764342309855232/</x:v>
      </x:c>
      <x:c r="C77" s="10" t="str">
        <x:v>https://www.instagram.com/p/Db50W3FHYuM/</x:v>
      </x:c>
      <x:c r="D77" s="10"/>
    </x:row>
    <x:row r="78" ht="28" customHeight="1">
      <x:c r="A78" s="8" t="str">
        <x:v>#075</x:v>
      </x:c>
      <x:c r="B78" s="10" t="str">
        <x:v>https://www.linkedin.com/posts/sayyidkhan92_hackathon-singapore-ai-activity-7495846654978478080-lNv7?utm_source=share&amp;utm_medium=member_desktop&amp;rcm=ACoAABzB85UB8iZMlY6hoj9K3g7MfcRKsCZOvqw</x:v>
      </x:c>
      <x:c r="C78" s="10" t="str">
        <x:v>https://www.instagram.com/p/DcOZh7DHVFE/</x:v>
      </x:c>
      <x:c r="D78" s="10"/>
    </x:row>
    <x:row r="79">
      <x:c r="A79" t="str">
        <x:v>#076</x:v>
      </x:c>
      <x:c r="B79" t="str">
        <x:v>https://www.linkedin.com/feed/update/urn:li:activity:7498397192852779008/</x:v>
      </x:c>
      <x:c r="C79" t="str">
        <x:v>https://www.instagram.com/reel/Dcgk8b_RELZ/
https://www.instagram.com/p/DcghI50ncWn/</x:v>
      </x:c>
      <x:c r="D79"/>
    </x:row>
    <x:row r="80">
      <x:c r="A80" t="str">
        <x:v>#077</x:v>
      </x:c>
      <x:c r="B80"/>
      <x:c r="C80" t="str">
        <x:v>https://www.instagram.com/p/Dcxszh0nbh6/</x:v>
      </x:c>
      <x:c r="D80"/>
    </x:row>
    <x:row r="81">
      <x:c r="A81" t="str">
        <x:v>#078</x:v>
      </x:c>
      <x:c r="B81"/>
      <x:c r="C81" t="str">
        <x:v>https://www.instagram.com/p/Dc5Nkd-nU1B/</x:v>
      </x:c>
      <x:c r="D81"/>
    </x:row>
    <x:row r="82" ht="48" customHeight="1">
      <x:c r="A82" t="str">
        <x:v>#079</x:v>
      </x:c>
      <x:c r="B82" t="str">
        <x:v>https://www.linkedin.com/posts/sayyidkhan92_hackathon-ai-sarawak-activity-7502243111935307776-MYar?utm_source=share&amp;utm_medium=member_desktop&amp;rcm=ACoAABzB85UB8iZMlY6hoj9K3g7MfcRKsCZOvqw
https://www.linkedin.com/posts/sohwanwei_saiyan-saiyanbuilders-singaporesarawak-ugcPost-7502187273908596737-4La9?utm_source=share&amp;utm_medium=member_desktop&amp;rcm=ACoAABzB85UB8iZMlY6hoj9K3g7MfcRKsCZOvqw</x:v>
      </x:c>
      <x:c r="C82" t="str">
        <x:v>https://www.instagram.com/p/Dc5QhzbmxIE/?utm_source=ig_web_copy_link&amp;stkn=MzRlODBiNWFlZA==
https://www.instagram.com/reel/Dc5TWF8TcSt/?utm_source=ig_web_copy_link&amp;stkn=MzRlODBiNWFlZA==
https://www.instagram.com/reel/Dc5ksn1xwM_/?utm_source=ig_web_copy_link&amp;stkn=MzRlODBiNWFlZA==
https://www.instagram.com/p/Dc7j6K9k9Rn/?utm_source=ig_web_copy_link&amp;stkn=MzRlODBiNWFlZA==
https://www.instagram.com/p/DdEa6eRHUJq/?utm_source=ig_web_copy_link&amp;stkn=MzRlODBiNWFlZA==
https://www.instagram.com/reel/Dc8Mz_8z325/
https://www.instagram.com/reel/Dc5UiWhxVXR/</x:v>
      </x:c>
      <x:c r="D82" t="str">
        <x:v>https://www.facebook.com/meetwanwei/posts/pfbid0VCBcsxbqSoXbprpPTRXozC7ATgj6vzxQxoE1QLCnXcMat63PQQCUbEK4ibgWh4Wql</x:v>
      </x:c>
    </x:row>
    <x:row r="83">
      <x:c r="A83" t="str">
        <x:v>#080</x:v>
      </x:c>
      <x:c r="B83" t="str">
        <x:v>https://www.linkedin.com/posts/sayyidkhan92_hackathon-astra-ai-activity-7506342725504557056-ifQj?utm_source=share&amp;utm_medium=member_desktop&amp;rcm=ACoAABzB85UB8iZMlY6hoj9K3g7MfcRKsCZOvqw
https://www.linkedin.com/posts/sayyidkhan92_hackathon-astra-ai-activity-7504873783019597824-0MLK?utm_source=share&amp;utm_medium=member_desktop&amp;rcm=ACoAABzB85UB8iZMlY6hoj9K3g7MfcRKsCZOvqw
https://www.linkedin.com/feed/update/urn:li:activity:7505062754270175232/</x:v>
      </x:c>
      <x:c r="C83" t="str">
        <x:v>https://www.instagram.com/reel/DdOiYzlxNim/?utm_source=ig_web_copy_link&amp;stkn=MzRlODBiNWFlZA==
https://www.instagram.com/p/DdY81t8k9G8/?utm_source=ig_web_copy_link&amp;stkn=MzRlODBiNWFlZA==</x:v>
      </x:c>
      <x:c r="D83"/>
    </x:row>
    <x:row r="84">
      <x:c r="A84" t="str">
        <x:v>#081</x:v>
      </x:c>
      <x:c r="B84"/>
      <x:c r="C84" t="str">
        <x:v>https://www.instagram.com/p/Dddoi71EyhB/?utm_source=ig_web_copy_link&amp;stkn=MzRlODBiNWFlZA==</x:v>
      </x:c>
      <x:c r="D84"/>
    </x:row>
    <x:row r="85" ht="60" customHeight="1">
      <x:c r="A85" s="525" t="str">
        <x:v>#082</x:v>
      </x:c>
      <x:c r="B85" s="526" t="str">
        <x:v>https://www.linkedin.com/posts/sayyidkhan92_hackathon-agenticai-agenticpayments-ugcPost-7516696461082836992-_vJ-/</x:v>
      </x:c>
      <x:c r="C85" s="526" t="str">
        <x:v>https://www.instagram.com/p/DeijGMznSNn/</x:v>
      </x:c>
      <x:c r="D85" s="526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229a57bfebf4221"/>
  </x:tableParts>
</x:worksheet>
</file>

<file path=xl/worksheets/sheet4.xml><?xml version="1.0" encoding="utf-8"?>
<x:worksheet xmlns:x="http://schemas.openxmlformats.org/spreadsheetml/2006/main">
  <x:sheetFormatPr baseColWidth="10" defaultColWidth="8.83203125" defaultRowHeight="16"/>
  <x:cols>
    <x:col min="1" max="1" width="30" customWidth="1"/>
    <x:col min="2" max="2" width="31" customWidth="1"/>
    <x:col min="3" max="3" width="45" customWidth="1"/>
  </x:cols>
  <x:sheetData>
    <x:row r="1" ht="34.75" customHeight="1">
      <x:c r="A1" s="20" t="s">
        <x:v>870</x:v>
      </x:c>
      <x:c r="B1" s="20"/>
      <x:c r="C1" s="20"/>
    </x:row>
    <x:row r="2" ht="45.25" customHeight="1">
      <x:c r="A2" s="21" t="s">
        <x:v>871</x:v>
      </x:c>
      <x:c r="B2" s="21"/>
      <x:c r="C2" s="21"/>
    </x:row>
    <x:row r="4" ht="29.25" customHeight="1">
      <x:c r="A4" s="15" t="s">
        <x:v>872</x:v>
      </x:c>
      <x:c r="B4" s="15" t="s">
        <x:v>873</x:v>
      </x:c>
      <x:c r="C4" s="15" t="s">
        <x:v>874</x:v>
      </x:c>
    </x:row>
    <x:row r="5" ht="26.75" customHeight="1">
      <x:c r="A5" s="16" t="s">
        <x:v>298</x:v>
      </x:c>
      <x:c r="B5" s="16" t="s">
        <x:v>875</x:v>
      </x:c>
      <x:c r="C5" s="17"/>
    </x:row>
    <x:row r="6" ht="26.75" customHeight="1">
      <x:c r="A6" s="16" t="s">
        <x:v>163</x:v>
      </x:c>
      <x:c r="B6" s="16" t="s">
        <x:v>876</x:v>
      </x:c>
      <x:c r="C6" s="17"/>
    </x:row>
    <x:row r="7" ht="26.75" customHeight="1">
      <x:c r="A7" s="16" t="s">
        <x:v>365</x:v>
      </x:c>
      <x:c r="B7" s="16" t="s">
        <x:v>877</x:v>
      </x:c>
      <x:c r="C7" s="17"/>
    </x:row>
    <x:row r="8" ht="26.75" customHeight="1">
      <x:c r="A8" s="16" t="s">
        <x:v>438</x:v>
      </x:c>
      <x:c r="B8" s="16" t="s">
        <x:v>877</x:v>
      </x:c>
      <x:c r="C8" s="17"/>
    </x:row>
    <x:row r="9" ht="26.75" customHeight="1">
      <x:c r="A9" s="16" t="s">
        <x:v>334</x:v>
      </x:c>
      <x:c r="B9" s="16" t="s">
        <x:v>878</x:v>
      </x:c>
      <x:c r="C9" s="17"/>
    </x:row>
    <x:row r="10" ht="26.75" customHeight="1">
      <x:c r="A10" s="16" t="s">
        <x:v>355</x:v>
      </x:c>
      <x:c r="B10" s="16" t="s">
        <x:v>879</x:v>
      </x:c>
      <x:c r="C10" s="17" t="s">
        <x:v>880</x:v>
      </x:c>
    </x:row>
    <x:row r="11" ht="26.75" customHeight="1">
      <x:c r="A11" s="16" t="s">
        <x:v>881</x:v>
      </x:c>
      <x:c r="B11" s="16" t="s">
        <x:v>877</x:v>
      </x:c>
      <x:c r="C11" s="17"/>
    </x:row>
    <x:row r="12" ht="26.75" customHeight="1">
      <x:c r="A12" s="16" t="s">
        <x:v>882</x:v>
      </x:c>
      <x:c r="B12" s="16" t="s">
        <x:v>883</x:v>
      </x:c>
      <x:c r="C12" s="17"/>
    </x:row>
    <x:row r="13" ht="26.75" customHeight="1">
      <x:c r="A13" s="16" t="s">
        <x:v>291</x:v>
      </x:c>
      <x:c r="B13" s="16" t="s">
        <x:v>876</x:v>
      </x:c>
      <x:c r="C13" s="17"/>
    </x:row>
    <x:row r="14" ht="26.75" customHeight="1">
      <x:c r="A14" s="16" t="s">
        <x:v>884</x:v>
      </x:c>
      <x:c r="B14" s="16" t="s">
        <x:v>885</x:v>
      </x:c>
      <x:c r="C14" s="17"/>
    </x:row>
    <x:row r="15" ht="26.75" customHeight="1">
      <x:c r="A15" s="16" t="s">
        <x:v>886</x:v>
      </x:c>
      <x:c r="B15" s="16" t="s">
        <x:v>887</x:v>
      </x:c>
      <x:c r="C15" s="17"/>
    </x:row>
    <x:row r="16" ht="26.75" customHeight="1">
      <x:c r="A16" s="16" t="s">
        <x:v>20</x:v>
      </x:c>
      <x:c r="B16" s="16" t="s">
        <x:v>888</x:v>
      </x:c>
      <x:c r="C16" s="17"/>
    </x:row>
    <x:row r="17" ht="26.75" customHeight="1">
      <x:c r="A17" s="16" t="s">
        <x:v>190</x:v>
      </x:c>
      <x:c r="B17" s="16" t="s">
        <x:v>888</x:v>
      </x:c>
      <x:c r="C17" s="17"/>
    </x:row>
    <x:row r="18" ht="26.75" customHeight="1">
      <x:c r="A18" s="16" t="s">
        <x:v>389</x:v>
      </x:c>
      <x:c r="B18" s="16" t="s">
        <x:v>883</x:v>
      </x:c>
      <x:c r="C18" s="17"/>
    </x:row>
    <x:row r="19" ht="26.75" customHeight="1">
      <x:c r="A19" s="16" t="s">
        <x:v>250</x:v>
      </x:c>
      <x:c r="B19" s="16" t="s">
        <x:v>875</x:v>
      </x:c>
      <x:c r="C19" s="17"/>
    </x:row>
    <x:row r="20" ht="26.75" customHeight="1">
      <x:c r="A20" s="16" t="s">
        <x:v>542</x:v>
      </x:c>
      <x:c r="B20" s="16" t="s">
        <x:v>887</x:v>
      </x:c>
      <x:c r="C20" s="17"/>
    </x:row>
    <x:row r="21" ht="26.75" customHeight="1">
      <x:c r="A21" s="16" t="s">
        <x:v>889</x:v>
      </x:c>
      <x:c r="B21" s="16" t="s">
        <x:v>887</x:v>
      </x:c>
      <x:c r="C21" s="17"/>
    </x:row>
    <x:row r="22" ht="26.75" customHeight="1">
      <x:c r="A22" s="16" t="s">
        <x:v>45</x:v>
      </x:c>
      <x:c r="B22" s="16" t="s">
        <x:v>887</x:v>
      </x:c>
      <x:c r="C22" s="17"/>
    </x:row>
    <x:row r="23" ht="26.75" customHeight="1">
      <x:c r="A23" s="16" t="s">
        <x:v>890</x:v>
      </x:c>
      <x:c r="B23" s="16" t="s">
        <x:v>891</x:v>
      </x:c>
      <x:c r="C23" s="17"/>
    </x:row>
    <x:row r="24" ht="26.75" customHeight="1">
      <x:c r="A24" s="16" t="s">
        <x:v>892</x:v>
      </x:c>
      <x:c r="B24" s="16" t="s">
        <x:v>875</x:v>
      </x:c>
      <x:c r="C24" s="17"/>
    </x:row>
    <x:row r="25" ht="26.75" customHeight="1">
      <x:c r="A25" s="16" t="s">
        <x:v>312</x:v>
      </x:c>
      <x:c r="B25" s="16" t="s">
        <x:v>876</x:v>
      </x:c>
      <x:c r="C25" s="17"/>
    </x:row>
    <x:row r="26" ht="26.75" customHeight="1">
      <x:c r="A26" s="16" t="s">
        <x:v>447</x:v>
      </x:c>
      <x:c r="B26" s="16" t="s">
        <x:v>876</x:v>
      </x:c>
      <x:c r="C26" s="17"/>
    </x:row>
    <x:row r="27" ht="26.75" customHeight="1">
      <x:c r="A27" s="16" t="s">
        <x:v>535</x:v>
      </x:c>
      <x:c r="B27" s="16" t="s">
        <x:v>879</x:v>
      </x:c>
      <x:c r="C27" s="17" t="s">
        <x:v>893</x:v>
      </x:c>
    </x:row>
    <x:row r="28" ht="26.75" customHeight="1">
      <x:c r="A28" s="16" t="s">
        <x:v>894</x:v>
      </x:c>
      <x:c r="B28" s="16" t="s">
        <x:v>891</x:v>
      </x:c>
      <x:c r="C28" s="17"/>
    </x:row>
    <x:row r="29" ht="26.75" customHeight="1">
      <x:c r="A29" s="16" t="s">
        <x:v>70</x:v>
      </x:c>
      <x:c r="B29" s="16" t="s">
        <x:v>891</x:v>
      </x:c>
      <x:c r="C29" s="17"/>
    </x:row>
    <x:row r="30" ht="26.75" customHeight="1">
      <x:c r="A30" s="16" t="s">
        <x:v>183</x:v>
      </x:c>
      <x:c r="B30" s="16" t="s">
        <x:v>891</x:v>
      </x:c>
      <x:c r="C30" s="17"/>
    </x:row>
    <x:row r="31" ht="26.75" customHeight="1">
      <x:c r="A31" s="16" t="s">
        <x:v>134</x:v>
      </x:c>
      <x:c r="B31" s="16" t="s">
        <x:v>888</x:v>
      </x:c>
      <x:c r="C31" s="17"/>
    </x:row>
    <x:row r="32" ht="26.75" customHeight="1">
      <x:c r="A32" s="16" t="s">
        <x:v>530</x:v>
      </x:c>
      <x:c r="B32" s="16" t="s">
        <x:v>883</x:v>
      </x:c>
      <x:c r="C32" s="17"/>
    </x:row>
    <x:row r="33" ht="26.75" customHeight="1">
      <x:c r="A33" s="16" t="s">
        <x:v>895</x:v>
      </x:c>
      <x:c r="B33" s="16" t="s">
        <x:v>883</x:v>
      </x:c>
      <x:c r="C33" s="17"/>
    </x:row>
    <x:row r="34" ht="26.75" customHeight="1">
      <x:c r="A34" s="16" t="s">
        <x:v>305</x:v>
      </x:c>
      <x:c r="B34" s="16" t="s">
        <x:v>877</x:v>
      </x:c>
      <x:c r="C34" s="17"/>
    </x:row>
    <x:row r="35" ht="26.75" customHeight="1">
      <x:c r="A35" s="16" t="s">
        <x:v>486</x:v>
      </x:c>
      <x:c r="B35" s="16" t="s">
        <x:v>876</x:v>
      </x:c>
      <x:c r="C35" s="17"/>
    </x:row>
    <x:row r="36" ht="26.75" customHeight="1">
      <x:c r="A36" s="16" t="s">
        <x:v>258</x:v>
      </x:c>
      <x:c r="B36" s="16" t="s">
        <x:v>879</x:v>
      </x:c>
      <x:c r="C36" s="17" t="s">
        <x:v>880</x:v>
      </x:c>
    </x:row>
    <x:row r="37" ht="26.75" customHeight="1">
      <x:c r="A37" s="16" t="s">
        <x:v>896</x:v>
      </x:c>
      <x:c r="B37" s="16" t="s">
        <x:v>888</x:v>
      </x:c>
      <x:c r="C37" s="17"/>
    </x:row>
    <x:row r="38" ht="26.75" customHeight="1">
      <x:c r="A38" s="16" t="s">
        <x:v>170</x:v>
      </x:c>
      <x:c r="B38" s="16" t="s">
        <x:v>885</x:v>
      </x:c>
      <x:c r="C38" s="17"/>
    </x:row>
    <x:row r="39" ht="26.75" customHeight="1">
      <x:c r="A39" s="16" t="s">
        <x:v>231</x:v>
      </x:c>
      <x:c r="B39" s="16" t="s">
        <x:v>883</x:v>
      </x:c>
      <x:c r="C39" s="17" t="s">
        <x:v>897</x:v>
      </x:c>
    </x:row>
    <x:row r="40" ht="26.75" customHeight="1">
      <x:c r="A40" s="16" t="s">
        <x:v>428</x:v>
      </x:c>
      <x:c r="B40" s="16" t="s">
        <x:v>883</x:v>
      </x:c>
      <x:c r="C40" s="17"/>
    </x:row>
    <x:row r="41" ht="26.75" customHeight="1">
      <x:c r="A41" s="16" t="s">
        <x:v>898</x:v>
      </x:c>
      <x:c r="B41" s="16" t="s">
        <x:v>883</x:v>
      </x:c>
      <x:c r="C41" s="17"/>
    </x:row>
    <x:row r="42" ht="26.75" customHeight="1">
      <x:c r="A42" s="16" t="s">
        <x:v>899</x:v>
      </x:c>
      <x:c r="B42" s="16" t="s">
        <x:v>887</x:v>
      </x:c>
      <x:c r="C42" s="17"/>
    </x:row>
    <x:row r="43" ht="26.75" customHeight="1">
      <x:c r="A43" s="16" t="s">
        <x:v>216</x:v>
      </x:c>
      <x:c r="B43" s="16" t="s">
        <x:v>879</x:v>
      </x:c>
      <x:c r="C43" s="17" t="s">
        <x:v>880</x:v>
      </x:c>
    </x:row>
    <x:row r="44" ht="26.75" customHeight="1">
      <x:c r="A44" s="16" t="s">
        <x:v>175</x:v>
      </x:c>
      <x:c r="B44" s="16" t="s">
        <x:v>885</x:v>
      </x:c>
      <x:c r="C44" s="17"/>
    </x:row>
    <x:row r="45" ht="26.75" customHeight="1">
      <x:c r="A45" s="16" t="s">
        <x:v>155</x:v>
      </x:c>
      <x:c r="B45" s="16" t="s">
        <x:v>885</x:v>
      </x:c>
      <x:c r="C45" s="17"/>
    </x:row>
    <x:row r="46" ht="26.75" customHeight="1">
      <x:c r="A46" s="16" t="s">
        <x:v>900</x:v>
      </x:c>
      <x:c r="B46" s="16" t="s">
        <x:v>885</x:v>
      </x:c>
      <x:c r="C46" s="17"/>
    </x:row>
    <x:row r="47" ht="26.75" customHeight="1">
      <x:c r="A47" s="16" t="s">
        <x:v>149</x:v>
      </x:c>
      <x:c r="B47" s="16" t="s">
        <x:v>878</x:v>
      </x:c>
      <x:c r="C47" s="17"/>
    </x:row>
    <x:row r="48" ht="26.75" customHeight="1">
      <x:c r="A48" s="16" t="s">
        <x:v>901</x:v>
      </x:c>
      <x:c r="B48" s="16" t="s">
        <x:v>879</x:v>
      </x:c>
      <x:c r="C48" s="17" t="s">
        <x:v>902</x:v>
      </x:c>
    </x:row>
    <x:row r="49" ht="26.75" customHeight="1">
      <x:c r="A49" s="16" t="s">
        <x:v>275</x:v>
      </x:c>
      <x:c r="B49" s="16" t="s">
        <x:v>878</x:v>
      </x:c>
      <x:c r="C49" s="17"/>
    </x:row>
    <x:row r="50" ht="26.75" customHeight="1">
      <x:c r="A50" s="16" t="s">
        <x:v>204</x:v>
      </x:c>
      <x:c r="B50" s="16" t="s">
        <x:v>885</x:v>
      </x:c>
      <x:c r="C50" s="17"/>
    </x:row>
    <x:row r="51" ht="26.75" customHeight="1">
      <x:c r="A51" s="16" t="s">
        <x:v>903</x:v>
      </x:c>
      <x:c r="B51" s="16" t="s">
        <x:v>885</x:v>
      </x:c>
      <x:c r="C51" s="17"/>
    </x:row>
    <x:row r="52" ht="26.75" customHeight="1">
      <x:c r="A52" s="16" t="s">
        <x:v>224</x:v>
      </x:c>
      <x:c r="B52" s="16" t="s">
        <x:v>891</x:v>
      </x:c>
      <x:c r="C52" s="17"/>
    </x:row>
    <x:row r="53">
      <x:c r="A53" t="s">
        <x:v>552</x:v>
      </x:c>
      <x:c r="B53" t="s">
        <x:v>365</x:v>
      </x:c>
      <x:c r="C53" t="s">
        <x:v>904</x:v>
      </x:c>
    </x:row>
    <x:row r="54">
      <x:c r="A54" t="s">
        <x:v>561</x:v>
      </x:c>
      <x:c r="B54" t="s">
        <x:v>879</x:v>
      </x:c>
    </x:row>
    <x:row r="55">
      <x:c r="A55" t="s">
        <x:v>568</x:v>
      </x:c>
      <x:c r="B55" t="s">
        <x:v>877</x:v>
      </x:c>
      <x:c r="C55" t="s">
        <x:v>905</x:v>
      </x:c>
    </x:row>
    <x:row r="56">
      <x:c r="A56" t="str">
        <x:v>GPT-6 Astra</x:v>
      </x:c>
      <x:c r="B56" t="str">
        <x:v>AI &amp; Data</x:v>
      </x:c>
      <x:c r="C56" t="str">
        <x:v>GPT-6 Astra hackathon builds</x:v>
      </x:c>
    </x:row>
    <x:row r="57">
      <x:c r="A57" t="str">
        <x:v>Micro Business</x:v>
      </x:c>
      <x:c r="B57" t="str">
        <x:v>Finance &amp; Commerce</x:v>
      </x:c>
      <x:c r="C57" t="str">
        <x:v>Small-business digital experiences and commerce tools</x:v>
      </x:c>
    </x:row>
    <x:row r="58">
      <x:c r="A58" t="str">
        <x:v>Anti Drugs</x:v>
      </x:c>
      <x:c r="B58" t="str">
        <x:v>Smart Nation / Social Good</x:v>
      </x:c>
      <x:c r="C58" t="str">
        <x:v>Interactive anti-drug and youth-wellbeing builds</x:v>
      </x:c>
    </x:row>
    <x:row r="59">
      <x:c r="A59" t="str">
        <x:v>Agentic Payments</x:v>
      </x:c>
      <x:c r="B59" t="str">
        <x:v>Finance &amp; Commerce</x:v>
      </x:c>
      <x:c r="C59"/>
    </x:row>
  </x:sheetData>
  <x:mergeCells>
    <x:mergeCell ref="A1:C1"/>
    <x:mergeCell ref="A2:C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8" hidden="0" customWidth="1"/>
    <x:col min="4" max="4" width="18" hidden="0" customWidth="1"/>
    <x:col min="5" max="5" width="34" hidden="0" customWidth="1"/>
    <x:col min="6" max="6" width="5" hidden="0" customWidth="1"/>
    <x:col min="7" max="7" width="5" hidden="0" customWidth="1"/>
    <x:col min="8" max="8" width="35" hidden="0" customWidth="1"/>
    <x:col min="9" max="9" width="23" hidden="0" customWidth="1"/>
    <x:col min="10" max="10" width="14" hidden="0" customWidth="1"/>
    <x:col min="11" max="11" width="16" hidden="0" customWidth="1"/>
    <x:col min="12" max="12" width="12" hidden="0" customWidth="1"/>
  </x:cols>
  <x:sheetData>
    <x:row r="1" ht="32" customHeight="1">
      <x:c r="A1" s="501" t="str">
        <x:v>Prize Money &amp; Rewards</x:v>
      </x:c>
      <x:c r="B1" s="502"/>
      <x:c r="C1" s="502"/>
      <x:c r="D1" s="502"/>
      <x:c r="E1" s="502"/>
      <x:c r="F1" s="502"/>
      <x:c r="G1" s="502"/>
      <x:c r="H1" s="502"/>
      <x:c r="I1" s="502"/>
      <x:c r="J1" s="502"/>
      <x:c r="K1" s="502"/>
      <x:c r="L1" s="502"/>
    </x:row>
    <x:row r="2" ht="24" customHeight="1">
      <x:c r="A2" s="503" t="str">
        <x:v>Live summary from the structured award fields on the Hackathons tab. Values refresh when you update the highlighted classification columns there.</x:v>
      </x:c>
      <x:c r="B2" s="504"/>
      <x:c r="C2" s="504"/>
      <x:c r="D2" s="504"/>
      <x:c r="E2" s="504"/>
      <x:c r="F2" s="504"/>
      <x:c r="G2" s="504"/>
      <x:c r="H2" s="504"/>
      <x:c r="I2" s="504"/>
      <x:c r="J2" s="504"/>
      <x:c r="K2" s="504"/>
      <x:c r="L2" s="504"/>
    </x:row>
    <x:row r="4">
      <x:c r="A4" s="505" t="str">
        <x:v>Cash-equivalent prizes</x:v>
      </x:c>
      <x:c r="B4" s="505"/>
      <x:c r="C4" s="505"/>
      <x:c r="D4" s="505"/>
      <x:c r="E4" s="505"/>
      <x:c r="F4" s="505"/>
      <x:c r="H4" s="505" t="str">
        <x:v>Credits and subscriptions</x:v>
      </x:c>
      <x:c r="I4" s="505"/>
      <x:c r="J4" s="505"/>
      <x:c r="K4" s="505"/>
      <x:c r="L4" s="505"/>
    </x:row>
    <x:row r="5" ht="22" customHeight="1">
      <x:c r="A5" s="506" t="str">
        <x:v>SGD cash + vouchers</x:v>
      </x:c>
      <x:c r="B5" s="506"/>
      <x:c r="C5" s="507" t="n">
        <x:f>SUMIFS('Prize Details'!$H$5:$H$28,'Prize Details'!$I$5:$I$28,"SGD",'Prize Details'!$X$5:$X$28,"Yes")</x:f>
        <x:v>2850</x:v>
      </x:c>
      <x:c r="D5" s="69"/>
      <x:c r="H5" s="506" t="str">
        <x:v>USD credits</x:v>
      </x:c>
      <x:c r="I5" s="506"/>
      <x:c r="J5" s="508" t="n">
        <x:f>SUMIFS('Prize Details'!$K$5:$K$28,'Prize Details'!$L$5:$L$28,"USD")</x:f>
        <x:v>131400</x:v>
      </x:c>
      <x:c r="K5" s="507"/>
    </x:row>
    <x:row r="6" ht="22" customHeight="1">
      <x:c r="A6" s="506" t="str">
        <x:v>USD cash + vouchers</x:v>
      </x:c>
      <x:c r="B6" s="506"/>
      <x:c r="C6" s="507" t="n">
        <x:f>SUMIFS('Prize Details'!$H$5:$H$28,'Prize Details'!$I$5:$I$28,"USD",'Prize Details'!$X$5:$X$28,"Yes")</x:f>
        <x:v>0</x:v>
      </x:c>
      <x:c r="D6" s="69"/>
      <x:c r="H6" s="506" t="str">
        <x:v>SGD credits</x:v>
      </x:c>
      <x:c r="I6" s="506"/>
      <x:c r="J6" s="508" t="n">
        <x:f>SUMIFS('Prize Details'!$K$5:$K$28,'Prize Details'!$L$5:$L$28,"SGD")</x:f>
        <x:v>385</x:v>
      </x:c>
      <x:c r="K6" s="507"/>
    </x:row>
    <x:row r="7" ht="22" customHeight="1">
      <x:c r="A7" s="506" t="str">
        <x:v>Confirmed prize records</x:v>
      </x:c>
      <x:c r="B7" s="506"/>
      <x:c r="C7" s="507" t="n">
        <x:f>COUNTIFS('Prize Details'!$H$5:$H$28,"&gt;0",'Prize Details'!$X$5:$X$28,"Yes")</x:f>
        <x:v>6</x:v>
      </x:c>
      <x:c r="D7" s="70"/>
      <x:c r="H7" s="506" t="str">
        <x:v>Subscription value (USD)</x:v>
      </x:c>
      <x:c r="I7" s="506"/>
      <x:c r="J7" s="508" t="n">
        <x:f>SUMIFS('Prize Details'!$O$5:$O$28,'Prize Details'!$P$5:$P$28,"USD")</x:f>
        <x:v>156</x:v>
      </x:c>
      <x:c r="K7" s="507"/>
    </x:row>
    <x:row r="8" ht="22" customHeight="1">
      <x:c r="A8" s="510" t="str">
        <x:v>Includes vouchers you chose to treat as cash-equivalent. Funding is shown separately and included in the all-tracked totals below.</x:v>
      </x:c>
      <x:c r="B8" s="510"/>
      <x:c r="C8" s="510"/>
      <x:c r="D8" s="510"/>
      <x:c r="E8" s="510"/>
      <x:c r="F8" s="510"/>
      <x:c r="H8" s="506" t="str">
        <x:v>Subscriptions collected</x:v>
      </x:c>
      <x:c r="I8" s="506"/>
      <x:c r="J8" s="509" t="n">
        <x:f>SUM('Prize Details'!$N$5:$N$28)</x:f>
        <x:v>4</x:v>
      </x:c>
      <x:c r="K8" s="507"/>
    </x:row>
    <x:row r="10" ht="24" customHeight="1">
      <x:c r="A10" s="511" t="str">
        <x:v>Breakdown by currency</x:v>
      </x:c>
      <x:c r="B10" s="511"/>
      <x:c r="C10" s="511"/>
      <x:c r="D10" s="511"/>
      <x:c r="E10" s="511"/>
      <x:c r="F10" s="52"/>
      <x:c r="G10" s="52"/>
      <x:c r="H10" s="52"/>
      <x:c r="I10" s="52"/>
      <x:c r="J10" s="52"/>
      <x:c r="K10" s="52"/>
      <x:c r="L10" s="52"/>
    </x:row>
    <x:row r="11" ht="24" customHeight="1">
      <x:c r="A11" s="499" t="str">
        <x:v>Category</x:v>
      </x:c>
      <x:c r="B11" s="499" t="str">
        <x:v>Currency</x:v>
      </x:c>
      <x:c r="C11" s="499" t="str">
        <x:v>Team total</x:v>
      </x:c>
      <x:c r="D11" s="499" t="str">
        <x:v>Individual total</x:v>
      </x:c>
      <x:c r="E11" s="492" t="str">
        <x:v>How it is calculated</x:v>
      </x:c>
      <x:c r="H11" s="505" t="str">
        <x:v>Assets Collected</x:v>
      </x:c>
      <x:c r="I11" s="505"/>
      <x:c r="J11" s="505"/>
      <x:c r="K11" s="505"/>
      <x:c r="L11" s="505"/>
    </x:row>
    <x:row r="12" ht="24" customHeight="1">
      <x:c r="A12" s="402" t="str">
        <x:v>Cash-equivalent prizes</x:v>
      </x:c>
      <x:c r="B12" s="402" t="str">
        <x:v>SGD</x:v>
      </x:c>
      <x:c r="C12" s="500" t="n">
        <x:f>SUMIFS('Prize Details'!$H$5:$H$28,'Prize Details'!$I$5:$I$28,B12,'Prize Details'!$X$5:$X$28,"Yes")</x:f>
        <x:v>2850</x:v>
      </x:c>
      <x:c r="D12" s="500" t="n">
        <x:f>SUMIFS('Prize Details'!$J$5:$J$28,'Prize Details'!$I$5:$I$28,B12,'Prize Details'!$X$5:$X$28,"Yes")</x:f>
        <x:v>1058.3333333333333</x:v>
      </x:c>
      <x:c r="E12" s="407" t="str">
        <x:v>Cash and vouchers marked Yes</x:v>
      </x:c>
      <x:c r="H12" s="506" t="str">
        <x:v>Recorded asset entries</x:v>
      </x:c>
      <x:c r="I12" s="506"/>
      <x:c r="J12" s="512" t="n">
        <x:f>COUNTIFS(Hackathons!$AA$2:$AA$83,"&lt;&gt;")</x:f>
        <x:v>4</x:v>
      </x:c>
      <x:c r="K12" s="514"/>
      <x:c r="L12" s="271"/>
    </x:row>
    <x:row r="13" ht="24" customHeight="1">
      <x:c r="A13" s="402" t="str">
        <x:v>Cash-equivalent prizes</x:v>
      </x:c>
      <x:c r="B13" s="402" t="str">
        <x:v>USD</x:v>
      </x:c>
      <x:c r="C13" s="500" t="n">
        <x:f>SUMIFS('Prize Details'!$H$5:$H$28,'Prize Details'!$I$5:$I$28,B13,'Prize Details'!$X$5:$X$28,"Yes")</x:f>
        <x:v>0</x:v>
      </x:c>
      <x:c r="D13" s="500" t="n">
        <x:f>SUMIFS('Prize Details'!$J$5:$J$28,'Prize Details'!$I$5:$I$28,B13,'Prize Details'!$X$5:$X$28,"Yes")</x:f>
        <x:v>0</x:v>
      </x:c>
      <x:c r="E13" s="407" t="str">
        <x:v>Cash and vouchers marked Yes</x:v>
      </x:c>
      <x:c r="H13" s="506" t="str">
        <x:v>Trophies collected</x:v>
      </x:c>
      <x:c r="I13" s="506"/>
      <x:c r="J13" s="512" t="n">
        <x:f>SUM(Hackathons!$AB$2:$AB$83)</x:f>
        <x:v>2</x:v>
      </x:c>
      <x:c r="K13" s="514"/>
      <x:c r="L13" s="271"/>
    </x:row>
    <x:row r="14" ht="24" customHeight="1">
      <x:c r="A14" s="402" t="str">
        <x:v>Credits</x:v>
      </x:c>
      <x:c r="B14" s="402" t="str">
        <x:v>USD</x:v>
      </x:c>
      <x:c r="C14" s="500" t="n">
        <x:f>SUMIFS('Prize Details'!$K$5:$K$28,'Prize Details'!$L$5:$L$28,B14)</x:f>
        <x:v>131400</x:v>
      </x:c>
      <x:c r="D14" s="500" t="n">
        <x:f>SUMIFS('Prize Details'!$M$5:$M$28,'Prize Details'!$L$5:$L$28,B14)</x:f>
        <x:v>41558.333333333336</x:v>
      </x:c>
      <x:c r="E14" s="407" t="str">
        <x:v>Non-cash product / API credits</x:v>
      </x:c>
      <x:c r="H14" s="499" t="str">
        <x:v>Hackathon</x:v>
      </x:c>
      <x:c r="I14" s="499" t="str">
        <x:v>Item</x:v>
      </x:c>
      <x:c r="J14" s="499" t="str">
        <x:v>Trophies</x:v>
      </x:c>
      <x:c r="K14"/>
      <x:c r="L14"/>
    </x:row>
    <x:row r="15" ht="31" customHeight="1">
      <x:c r="A15" s="402" t="str">
        <x:v>Credits</x:v>
      </x:c>
      <x:c r="B15" s="402" t="str">
        <x:v>SGD</x:v>
      </x:c>
      <x:c r="C15" s="500" t="n">
        <x:f>SUMIFS('Prize Details'!$K$5:$K$28,'Prize Details'!$L$5:$L$28,B15)</x:f>
        <x:v>385</x:v>
      </x:c>
      <x:c r="D15" s="500" t="n">
        <x:f>SUMIFS('Prize Details'!$M$5:$M$28,'Prize Details'!$L$5:$L$28,B15)</x:f>
        <x:v>385</x:v>
      </x:c>
      <x:c r="E15" s="407" t="str">
        <x:v>Non-cash product / API credits</x:v>
      </x:c>
      <x:c r="H15" s="515" t="str">
        <x:f>Hackathons!B5</x:f>
        <x:v>Fintech Festival Hackathon 2016</x:v>
      </x:c>
      <x:c r="I15" s="515" t="str">
        <x:f>Hackathons!AA5</x:f>
        <x:v>SmartWatch</x:v>
      </x:c>
      <x:c r="J15" s="516" t="str">
        <x:f>IF(Hackathons!AB5="","",Hackathons!AB5)</x:f>
      </x:c>
      <x:c r="K15"/>
      <x:c r="L15"/>
    </x:row>
    <x:row r="16" ht="31" customHeight="1">
      <x:c r="A16" s="402" t="str">
        <x:v>Subscriptions</x:v>
      </x:c>
      <x:c r="B16" s="402" t="str">
        <x:v>USD</x:v>
      </x:c>
      <x:c r="C16" s="500" t="n">
        <x:f>SUMIFS('Prize Details'!$O$5:$O$28,'Prize Details'!$P$5:$P$28,B16)</x:f>
        <x:v>156</x:v>
      </x:c>
      <x:c r="D16" s="500" t="n">
        <x:f>SUMIFS('Prize Details'!$Q$5:$Q$28,'Prize Details'!$P$5:$P$28,B16)</x:f>
        <x:v>39</x:v>
      </x:c>
      <x:c r="E16" s="407" t="str">
        <x:v>Known subscription value</x:v>
      </x:c>
      <x:c r="H16" s="515" t="str">
        <x:f>Hackathons!B41</x:f>
        <x:v>Sarawak AI Hackathon 2025</x:v>
      </x:c>
      <x:c r="I16" s="515" t="str">
        <x:f>Hackathons!AA41</x:f>
        <x:v>Trophy</x:v>
      </x:c>
      <x:c r="J16" s="516" t="n">
        <x:f>IF(Hackathons!AB41="","",Hackathons!AB41)</x:f>
        <x:v>1</x:v>
      </x:c>
      <x:c r="K16"/>
      <x:c r="L16"/>
    </x:row>
    <x:row r="17" ht="31" customHeight="1">
      <x:c r="A17" s="402" t="str">
        <x:v>Funding</x:v>
      </x:c>
      <x:c r="B17" s="402" t="str">
        <x:v>SGD</x:v>
      </x:c>
      <x:c r="C17" s="500" t="n">
        <x:f>SUMIFS('Prize Details'!$R$5:$R$28,'Prize Details'!$S$5:$S$28,B17)</x:f>
        <x:v>18000</x:v>
      </x:c>
      <x:c r="D17" s="500" t="n">
        <x:f>SUMIFS('Prize Details'!$T$5:$T$28,'Prize Details'!$S$5:$S$28,B17)</x:f>
        <x:v>3600</x:v>
      </x:c>
      <x:c r="E17" s="407" t="str">
        <x:v>Seed funding / grants</x:v>
      </x:c>
      <x:c r="H17" s="515" t="str">
        <x:f>Hackathons!B62</x:f>
        <x:v>Vercel Zero to Agent: Singapore (1 Hr Hackathon) 2026</x:v>
      </x:c>
      <x:c r="I17" s="515" t="str">
        <x:f>Hackathons!AA62</x:f>
        <x:v>v0 Sock</x:v>
      </x:c>
      <x:c r="J17" s="516" t="str">
        <x:f>IF(Hackathons!AB62="","",Hackathons!AB62)</x:f>
      </x:c>
      <x:c r="K17"/>
      <x:c r="L17"/>
    </x:row>
    <x:row r="18" ht="31" customHeight="1">
      <x:c r="A18"/>
      <x:c r="B18"/>
      <x:c r="C18"/>
      <x:c r="D18"/>
      <x:c r="E18" s="54"/>
      <x:c r="F18" s="54"/>
      <x:c r="G18" s="54"/>
      <x:c r="H18" s="515" t="str">
        <x:f>Hackathons!B80</x:f>
        <x:v>SG × SWK Friendship AI Business Design Hackathon</x:v>
      </x:c>
      <x:c r="I18" s="515" t="str">
        <x:f>Hackathons!AA80</x:f>
        <x:v>Trophy</x:v>
      </x:c>
      <x:c r="J18" s="516" t="n">
        <x:f>IF(Hackathons!AB80="","",Hackathons!AB80)</x:f>
        <x:v>1</x:v>
      </x:c>
      <x:c r="K18"/>
      <x:c r="L18"/>
    </x:row>
    <x:row r="19" ht="22" customHeight="1">
      <x:c r="A19"/>
      <x:c r="H19" s="284" t="str">
        <x:v>Assets remain outside monetary totals until a value is recorded.</x:v>
      </x:c>
      <x:c r="I19" s="284"/>
      <x:c r="J19" s="284"/>
      <x:c r="K19" s="284"/>
      <x:c r="L19" s="284"/>
    </x:row>
    <x:row r="20" ht="22" customHeight="1">
      <x:c r="A20" s="517" t="str">
        <x:v>All tracked monetary value</x:v>
      </x:c>
      <x:c r="B20" s="517" t="str">
        <x:v>Currency</x:v>
      </x:c>
      <x:c r="C20" s="517" t="str">
        <x:v>Amount</x:v>
      </x:c>
      <x:c r="D20" s="517" t="str">
        <x:v>Includes</x:v>
      </x:c>
      <x:c r="E20" s="518"/>
      <x:c r="F20"/>
      <x:c r="G20"/>
      <x:c r="H20" s="518" t="str">
        <x:v>Individual Total (Your Share)</x:v>
      </x:c>
      <x:c r="I20" s="518"/>
      <x:c r="J20" s="518"/>
      <x:c r="K20" s="518"/>
      <x:c r="L20" s="518"/>
    </x:row>
    <x:row r="21" ht="24" customHeight="1">
      <x:c r="A21" s="519" t="str">
        <x:v>All prize value</x:v>
      </x:c>
      <x:c r="B21" s="519" t="str">
        <x:v>SGD</x:v>
      </x:c>
      <x:c r="C21" s="507" t="n">
        <x:f>SUMIFS('Prize Details'!$H$5:$H$28,'Prize Details'!$I$5:$I$28,B21,'Prize Details'!$X$5:$X$28,"Yes")+SUMIFS('Prize Details'!$K$5:$K$28,'Prize Details'!$L$5:$L$28,B21)+SUMIFS('Prize Details'!$O$5:$O$28,'Prize Details'!$P$5:$P$28,B21)+SUMIFS('Prize Details'!$R$5:$R$28,'Prize Details'!$S$5:$S$28,B21)</x:f>
        <x:v>21235</x:v>
      </x:c>
      <x:c r="D21" s="519" t="str">
        <x:v>Cash, credits, subscriptions, funding</x:v>
      </x:c>
      <x:c r="E21" s="519"/>
      <x:c r="F21"/>
      <x:c r="H21" s="506" t="str">
        <x:v>Individual tracked value</x:v>
      </x:c>
      <x:c r="I21" s="506"/>
      <x:c r="J21" s="506" t="str">
        <x:v>SGD</x:v>
      </x:c>
      <x:c r="K21" s="507" t="n">
        <x:f>SUMIFS('Prize Details'!$J$5:$J$28,'Prize Details'!$I$5:$I$28,J21)+SUMIFS('Prize Details'!$M$5:$M$28,'Prize Details'!$L$5:$L$28,J21)+SUMIFS('Prize Details'!$Q$5:$Q$28,'Prize Details'!$P$5:$P$28,J21)+SUMIFS('Prize Details'!$T$5:$T$28,'Prize Details'!$S$5:$S$28,J21)</x:f>
        <x:v>5043.333333333333</x:v>
      </x:c>
      <x:c r="L21" s="332"/>
    </x:row>
    <x:row r="22" ht="24" customHeight="1">
      <x:c r="A22" s="519" t="str">
        <x:v>All prize value</x:v>
      </x:c>
      <x:c r="B22" s="519" t="str">
        <x:v>USD</x:v>
      </x:c>
      <x:c r="C22" s="507" t="n">
        <x:f>SUMIFS('Prize Details'!$H$5:$H$28,'Prize Details'!$I$5:$I$28,B22,'Prize Details'!$X$5:$X$28,"Yes")+SUMIFS('Prize Details'!$K$5:$K$28,'Prize Details'!$L$5:$L$28,B22)+SUMIFS('Prize Details'!$O$5:$O$28,'Prize Details'!$P$5:$P$28,B22)+SUMIFS('Prize Details'!$R$5:$R$28,'Prize Details'!$S$5:$S$28,B22)</x:f>
        <x:v>131556</x:v>
      </x:c>
      <x:c r="D22" s="519" t="str">
        <x:v>Cash, credits, subscriptions, funding</x:v>
      </x:c>
      <x:c r="E22" s="519"/>
      <x:c r="H22" s="506"/>
      <x:c r="I22" s="506"/>
      <x:c r="J22" s="506" t="str">
        <x:v>USD</x:v>
      </x:c>
      <x:c r="K22" s="507" t="n">
        <x:f>SUMIFS('Prize Details'!$J$5:$J$28,'Prize Details'!$I$5:$I$28,J22)+SUMIFS('Prize Details'!$M$5:$M$28,'Prize Details'!$L$5:$L$28,J22)+SUMIFS('Prize Details'!$Q$5:$Q$28,'Prize Details'!$P$5:$P$28,J22)+SUMIFS('Prize Details'!$T$5:$T$28,'Prize Details'!$S$5:$S$28,J22)</x:f>
        <x:v>41597.333333333336</x:v>
      </x:c>
      <x:c r="L22" s="332"/>
    </x:row>
    <x:row r="23" ht="25" customHeight="1">
      <x:c r="A23" s="510" t="str">
        <x:v>This combines money-like prizes, credits, subscriptions, and funding in the same currency. Trophies and physical assets are excluded because they have no recorded monetary value.</x:v>
      </x:c>
      <x:c r="B23" s="520"/>
      <x:c r="C23" s="520"/>
      <x:c r="D23" s="520"/>
      <x:c r="E23" s="520"/>
      <x:c r="F23" s="520"/>
      <x:c r="G23" s="520"/>
      <x:c r="H23" s="520"/>
      <x:c r="I23" s="520"/>
      <x:c r="J23" s="520"/>
      <x:c r="K23" s="520"/>
      <x:c r="L23" s="520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</x:row>
    <x:row r="25" ht="20" customHeight="1">
      <x:c r="A25" s="521" t="str">
        <x:v>Update the yellow structured fields in Hackathons; this dashboard refreshes automatically.</x:v>
      </x:c>
      <x:c r="B25" s="521"/>
      <x:c r="C25" s="521"/>
      <x:c r="D25" s="521"/>
      <x:c r="E25" s="521"/>
      <x:c r="F25" s="521"/>
      <x:c r="G25" s="521"/>
      <x:c r="H25" s="521"/>
      <x:c r="I25" s="521"/>
      <x:c r="J25" s="521"/>
      <x:c r="K25" s="521"/>
      <x:c r="L25" s="521"/>
    </x:row>
    <x:row r="26" ht="42" customHeight="1">
      <x:c r="A26"/>
      <x:c r="B26"/>
      <x:c r="C26"/>
      <x:c r="D26"/>
      <x:c r="E26"/>
      <x:c r="F26"/>
      <x:c r="G26"/>
      <x:c r="H26"/>
      <x:c r="I26"/>
      <x:c r="J26"/>
      <x:c r="K26"/>
      <x:c r="L26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1">
      <x:c r="A41"/>
      <x:c r="B41"/>
      <x:c r="C41"/>
      <x:c r="D41"/>
    </x:row>
    <x:row r="42">
      <x:c r="A42"/>
      <x:c r="B42"/>
      <x:c r="C42"/>
      <x:c r="D42"/>
    </x:row>
    <x:row r="43">
      <x:c r="A43"/>
      <x:c r="B43"/>
      <x:c r="C43"/>
      <x:c r="D43"/>
    </x:row>
    <x:row r="45" ht="24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</x:sheetData>
  <x:mergeCells>
    <x:mergeCell ref="A1:L1"/>
    <x:mergeCell ref="A2:L2"/>
    <x:mergeCell ref="A4:F4"/>
    <x:mergeCell ref="H4:L4"/>
    <x:mergeCell ref="A5:B5"/>
    <x:mergeCell ref="C5:D5"/>
    <x:mergeCell ref="A6:B6"/>
    <x:mergeCell ref="C6:D6"/>
    <x:mergeCell ref="A7:B7"/>
    <x:mergeCell ref="C7:D7"/>
    <x:mergeCell ref="A8:F8"/>
    <x:mergeCell ref="H5:I5"/>
    <x:mergeCell ref="J5:K5"/>
    <x:mergeCell ref="H6:I6"/>
    <x:mergeCell ref="J6:K6"/>
    <x:mergeCell ref="H7:I7"/>
    <x:mergeCell ref="J7:K7"/>
    <x:mergeCell ref="H8:I8"/>
    <x:mergeCell ref="J8:K8"/>
    <x:mergeCell ref="A10:L10"/>
    <x:mergeCell ref="A23:L23"/>
    <x:mergeCell ref="A25:L25"/>
    <x:mergeCell ref="A26:L28"/>
    <x:mergeCell ref="H11:L11"/>
    <x:mergeCell ref="H12:I12"/>
    <x:mergeCell ref="J12:L12"/>
    <x:mergeCell ref="H13:I13"/>
    <x:mergeCell ref="J13:L13"/>
    <x:mergeCell ref="H19:L19"/>
    <x:mergeCell ref="H20:L20"/>
    <x:mergeCell ref="H21:I22"/>
    <x:mergeCell ref="K21:L21"/>
    <x:mergeCell ref="K22:L2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52" hidden="0" customWidth="1"/>
    <x:col min="4" max="4" width="20" hidden="0" customWidth="1"/>
    <x:col min="5" max="5" width="30" hidden="0" customWidth="1"/>
    <x:col min="6" max="6" width="18" hidden="0" customWidth="1"/>
    <x:col min="7" max="7" width="20" hidden="0" customWidth="1"/>
    <x:col min="8" max="8" width="16" hidden="0" customWidth="1"/>
    <x:col min="9" max="9" width="14" hidden="0" customWidth="1"/>
    <x:col min="10" max="10" width="18" hidden="0" customWidth="1"/>
    <x:col min="11" max="11" width="16" hidden="0" customWidth="1"/>
    <x:col min="12" max="12" width="20" hidden="0" customWidth="1"/>
    <x:col min="13" max="13" width="18" hidden="0" customWidth="1"/>
    <x:col min="14" max="14" width="18" hidden="0" customWidth="1"/>
    <x:col min="15" max="15" width="20" hidden="0" customWidth="1"/>
    <x:col min="16" max="16" width="18" hidden="0" customWidth="1"/>
    <x:col min="17" max="17" width="22" hidden="0" customWidth="1"/>
    <x:col min="18" max="18" width="16" hidden="0" customWidth="1"/>
    <x:col min="19" max="19" width="18" hidden="0" customWidth="1"/>
    <x:col min="20" max="20" width="18" hidden="0" customWidth="1"/>
    <x:col min="21" max="21" width="32" hidden="0" customWidth="1"/>
    <x:col min="22" max="22" width="20" hidden="0" customWidth="1"/>
    <x:col min="23" max="23" width="14" hidden="0" customWidth="1"/>
    <x:col min="24" max="24" width="16" hidden="0" customWidth="1"/>
    <x:col min="25" max="25" width="32" hidden="0" customWidth="1"/>
  </x:cols>
  <x:sheetData>
    <x:row r="1" ht="32" customHeight="1">
      <x:c r="A1" s="494" t="str">
        <x:v>Prize Details — Team Totals and Individual Share</x:v>
      </x:c>
    </x:row>
    <x:row r="2" ht="28" customHeight="1">
      <x:c r="A2" s="106" t="str">
        <x:v>Team totals reflect the allocation basis. Per Team Member awards multiply the per-person award by the hackathon team count; individual values retain the per-person amount.</x:v>
      </x:c>
    </x:row>
    <x:row r="3">
      <x:c r="A3" s="81" t="str">
        <x:v>Records tracked</x:v>
      </x:c>
      <x:c r="B3" s="81"/>
      <x:c r="C3" s="81"/>
      <x:c r="D3" s="85" t="n">
        <x:f>COUNTA(A5:A28)</x:f>
        <x:v>24</x:v>
      </x:c>
      <x:c r="E3" s="85"/>
      <x:c r="F3" s="109" t="str">
        <x:v>Cash-equivalent total (SGD)</x:v>
      </x:c>
      <x:c r="G3" s="109"/>
      <x:c r="H3" s="109"/>
      <x:c r="I3" s="114" t="n">
        <x:f>SUMIFS(Hackathons!$S$2:$S$83,Hackathons!$T$2:$T$83,"SGD",Hackathons!$AE$2:$AE$83,"Yes")</x:f>
        <x:v>2750</x:v>
      </x:c>
      <x:c r="J3" s="114"/>
      <x:c r="L3" s="109" t="str">
        <x:v>Cash-equivalent total (USD)</x:v>
      </x:c>
      <x:c r="M3" s="109"/>
      <x:c r="N3" s="109"/>
      <x:c r="O3" s="114" t="n">
        <x:f>SUMIFS(Hackathons!$S$2:$S$83,Hackathons!$T$2:$T$83,"USD",Hackathons!$AE$2:$AE$83,"Yes")</x:f>
        <x:v>0</x:v>
      </x:c>
      <x:c r="P3" s="114"/>
    </x:row>
    <x:row r="4" ht="32" customHeight="1">
      <x:c r="A4" s="36" t="str">
        <x:v>#</x:v>
      </x:c>
      <x:c r="B4" s="36" t="str">
        <x:v>Hackathon</x:v>
      </x:c>
      <x:c r="C4" s="36" t="str">
        <x:v>Award Summary</x:v>
      </x:c>
      <x:c r="D4" s="36" t="str">
        <x:v>Award Type</x:v>
      </x:c>
      <x:c r="E4" s="36" t="str">
        <x:v>Additional Info</x:v>
      </x:c>
      <x:c r="F4" s="36" t="str">
        <x:v>Hackathon Team Members</x:v>
      </x:c>
      <x:c r="G4" s="36" t="str">
        <x:v>Prize Allocation</x:v>
      </x:c>
      <x:c r="H4" s="36" t="str">
        <x:v>Team Cash</x:v>
      </x:c>
      <x:c r="I4" s="36" t="str">
        <x:v>Cash Currency</x:v>
      </x:c>
      <x:c r="J4" s="36" t="str">
        <x:v>Individual Cash</x:v>
      </x:c>
      <x:c r="K4" s="36" t="str">
        <x:v>Team Credits</x:v>
      </x:c>
      <x:c r="L4" s="36" t="str">
        <x:v>Credit Currency / Units</x:v>
      </x:c>
      <x:c r="M4" s="36" t="str">
        <x:v>Individual Credits</x:v>
      </x:c>
      <x:c r="N4" s="36" t="str">
        <x:v>Team Subscription Count</x:v>
      </x:c>
      <x:c r="O4" s="36" t="str">
        <x:v>Team Subscription Value</x:v>
      </x:c>
      <x:c r="P4" s="36" t="str">
        <x:v>Subscription Currency</x:v>
      </x:c>
      <x:c r="Q4" s="36" t="str">
        <x:v>Individual Subscription Value</x:v>
      </x:c>
      <x:c r="R4" s="36" t="str">
        <x:v>Team Funding</x:v>
      </x:c>
      <x:c r="S4" s="36" t="str">
        <x:v>Funding Currency</x:v>
      </x:c>
      <x:c r="T4" s="36" t="str">
        <x:v>Individual Funding</x:v>
      </x:c>
      <x:c r="U4" s="36" t="str">
        <x:v>Other Non-cash Prize</x:v>
      </x:c>
      <x:c r="V4" s="36" t="str">
        <x:v>Physical Asset</x:v>
      </x:c>
      <x:c r="W4" s="36" t="str">
        <x:v>Trophy Count</x:v>
      </x:c>
      <x:c r="X4" s="36" t="str">
        <x:v>Money Counted?</x:v>
      </x:c>
      <x:c r="Y4" s="36" t="str">
        <x:v>Review Note</x:v>
      </x:c>
    </x:row>
    <x:row r="5">
      <x:c r="A5" s="36" t="n">
        <x:f>Hackathons!A2</x:f>
        <x:v>1</x:v>
      </x:c>
      <x:c r="B5" s="36" t="str">
        <x:f>Hackathons!B2</x:f>
        <x:v>Education Technology Hackathon</x:v>
      </x:c>
      <x:c r="C5" s="36" t="str">
        <x:f>Hackathons!AG2</x:f>
        <x:v>1st Place — S$18,000 Seed Funding</x:v>
      </x:c>
      <x:c r="D5" s="36" t="str">
        <x:f>IF(Hackathons!Q2="","",Hackathons!Q2)</x:f>
        <x:v>1st Place</x:v>
      </x:c>
      <x:c r="E5" s="36" t="str">
        <x:f>IF(Hackathons!R2="","",Hackathons!R2)</x:f>
      </x:c>
      <x:c r="F5" s="39" t="n">
        <x:f>IF(Hackathons!AH2="","",Hackathons!AH2)</x:f>
        <x:v>5</x:v>
      </x:c>
      <x:c r="G5" s="36" t="str">
        <x:f>IF(Hackathons!AI2="","",Hackathons!AI2)</x:f>
        <x:v>Per Team</x:v>
      </x:c>
      <x:c r="H5" s="40" t="str">
        <x:f>IF(Hackathons!S2="","",IF(G5="Per Team Member",Hackathons!S2*F5,Hackathons!S2))</x:f>
      </x:c>
      <x:c r="I5" s="36" t="str">
        <x:f>IF(Hackathons!T2="","",Hackathons!T2)</x:f>
      </x:c>
      <x:c r="J5" s="498" t="str">
        <x:f>IF(OR(H5="",F5=""),"",H5/F5)</x:f>
      </x:c>
      <x:c r="K5" s="40" t="str">
        <x:f>IF(Hackathons!U2="","",IF(G5="Per Team Member",Hackathons!U2*F5,Hackathons!U2))</x:f>
      </x:c>
      <x:c r="L5" s="36" t="str">
        <x:f>IF(Hackathons!V2="","",Hackathons!V2)</x:f>
      </x:c>
      <x:c r="M5" s="498" t="str">
        <x:f>IF(OR(K5="",F5=""),"",K5/F5)</x:f>
      </x:c>
      <x:c r="N5" s="39" t="str">
        <x:f>IF(Hackathons!W2="","",IF(G5="Per Team Member",Hackathons!W2*F5,Hackathons!W2))</x:f>
      </x:c>
      <x:c r="O5" s="40" t="str">
        <x:f>IF(Hackathons!X2="","",IF(G5="Per Team Member",Hackathons!X2*F5,Hackathons!X2))</x:f>
      </x:c>
      <x:c r="P5" s="36" t="str">
        <x:f>IF(Hackathons!Y2="","",Hackathons!Y2)</x:f>
      </x:c>
      <x:c r="Q5" s="498" t="str">
        <x:f>IF(OR(O5="",F5=""),"",O5/F5)</x:f>
      </x:c>
      <x:c r="R5" s="40" t="n">
        <x:f>IF(Hackathons!AC2="","",IF(G5="Per Team Member",Hackathons!AC2*F5,Hackathons!AC2))</x:f>
        <x:v>18000</x:v>
      </x:c>
      <x:c r="S5" s="36" t="str">
        <x:f>IF(Hackathons!AD2="","",Hackathons!AD2)</x:f>
        <x:v>SGD</x:v>
      </x:c>
      <x:c r="T5" s="498" t="n">
        <x:f>IF(OR(R5="",F5="",F5=0),"",R5/F5)</x:f>
        <x:v>3600</x:v>
      </x:c>
      <x:c r="U5" s="36" t="str">
        <x:f>IF(Hackathons!Z2="","",Hackathons!Z2)</x:f>
      </x:c>
      <x:c r="V5" s="36" t="str">
        <x:f>IF(Hackathons!AA2="","",Hackathons!AA2)</x:f>
      </x:c>
      <x:c r="W5" s="39" t="str">
        <x:f>IF(Hackathons!AB2="","",Hackathons!AB2)</x:f>
      </x:c>
      <x:c r="X5" s="36" t="str">
        <x:f>IF(Hackathons!AE2="","",Hackathons!AE2)</x:f>
        <x:v>Exclude</x:v>
      </x:c>
      <x:c r="Y5" s="36" t="str">
        <x:f>IF(Hackathons!AF2="","",Hackathons!AF2)</x:f>
        <x:v>Funding, not a cash prize</x:v>
      </x:c>
    </x:row>
    <x:row r="6">
      <x:c r="A6" s="36" t="n">
        <x:f>Hackathons!A4</x:f>
        <x:v>3</x:v>
      </x:c>
      <x:c r="B6" s="36" t="str">
        <x:f>Hackathons!B4</x:f>
        <x:v>DataDriven Hackathon 2016</x:v>
      </x:c>
      <x:c r="C6" s="36" t="str">
        <x:f>Hackathons!AG4</x:f>
        <x:v>Best Project</x:v>
      </x:c>
      <x:c r="D6" s="36" t="str">
        <x:f>IF(Hackathons!Q4="","",Hackathons!Q4)</x:f>
        <x:v>Best Project</x:v>
      </x:c>
      <x:c r="E6" s="36" t="str">
        <x:f>IF(Hackathons!R4="","",Hackathons!R4)</x:f>
        <x:v>Rated best project</x:v>
      </x:c>
      <x:c r="F6" s="39" t="n">
        <x:f>IF(Hackathons!AH4="","",Hackathons!AH4)</x:f>
        <x:v>6</x:v>
      </x:c>
      <x:c r="G6" s="36" t="str">
        <x:f>IF(Hackathons!AI4="","",Hackathons!AI4)</x:f>
        <x:v>Per Team</x:v>
      </x:c>
      <x:c r="H6" s="40" t="str">
        <x:f>IF(Hackathons!S4="","",IF(G6="Per Team Member",Hackathons!S4*F6,Hackathons!S4))</x:f>
      </x:c>
      <x:c r="I6" s="36" t="str">
        <x:f>IF(Hackathons!T4="","",Hackathons!T4)</x:f>
      </x:c>
      <x:c r="J6" s="498" t="str">
        <x:f>IF(OR(H6="",F6=""),"",H6/F6)</x:f>
      </x:c>
      <x:c r="K6" s="40" t="str">
        <x:f>IF(Hackathons!U4="","",IF(G6="Per Team Member",Hackathons!U4*F6,Hackathons!U4))</x:f>
      </x:c>
      <x:c r="L6" s="36" t="str">
        <x:f>IF(Hackathons!V4="","",Hackathons!V4)</x:f>
      </x:c>
      <x:c r="M6" s="498" t="str">
        <x:f>IF(OR(K6="",F6=""),"",K6/F6)</x:f>
      </x:c>
      <x:c r="N6" s="39" t="str">
        <x:f>IF(Hackathons!W4="","",IF(G6="Per Team Member",Hackathons!W4*F6,Hackathons!W4))</x:f>
      </x:c>
      <x:c r="O6" s="40" t="str">
        <x:f>IF(Hackathons!X4="","",IF(G6="Per Team Member",Hackathons!X4*F6,Hackathons!X4))</x:f>
      </x:c>
      <x:c r="P6" s="36" t="str">
        <x:f>IF(Hackathons!Y4="","",Hackathons!Y4)</x:f>
      </x:c>
      <x:c r="Q6" s="498" t="str">
        <x:f>IF(OR(O6="",F6=""),"",O6/F6)</x:f>
      </x:c>
      <x:c r="R6" s="40" t="str">
        <x:f>IF(Hackathons!AC4="","",IF(G6="Per Team Member",Hackathons!AC4*F6,Hackathons!AC4))</x:f>
      </x:c>
      <x:c r="S6" s="36" t="str">
        <x:f>IF(Hackathons!AD4="","",Hackathons!AD4)</x:f>
      </x:c>
      <x:c r="T6" s="498" t="str">
        <x:f>IF(OR(R6="",F6="",F6=0),"",R6/F6)</x:f>
      </x:c>
      <x:c r="U6" s="36" t="str">
        <x:f>IF(Hackathons!Z4="","",Hackathons!Z4)</x:f>
      </x:c>
      <x:c r="V6" s="36" t="str">
        <x:f>IF(Hackathons!AA4="","",Hackathons!AA4)</x:f>
      </x:c>
      <x:c r="W6" s="39" t="str">
        <x:f>IF(Hackathons!AB4="","",Hackathons!AB4)</x:f>
      </x:c>
      <x:c r="X6" s="36" t="str">
        <x:f>IF(Hackathons!AE4="","",Hackathons!AE4)</x:f>
        <x:v>Exclude</x:v>
      </x:c>
      <x:c r="Y6" s="36" t="str">
        <x:f>IF(Hackathons!AF4="","",Hackathons!AF4)</x:f>
        <x:v>Recognition only</x:v>
      </x:c>
    </x:row>
    <x:row r="7">
      <x:c r="A7" s="36" t="n">
        <x:f>Hackathons!A5</x:f>
        <x:v>4</x:v>
      </x:c>
      <x:c r="B7" s="36" t="str">
        <x:f>Hackathons!B5</x:f>
        <x:v>Fintech Festival Hackathon 2016</x:v>
      </x:c>
      <x:c r="C7" s="36" t="str">
        <x:f>Hackathons!AG5</x:f>
        <x:v>1st Place — Best Use of IBM Bluemix — US$100,000 IBM Bluemix Credits — SmartWatch</x:v>
      </x:c>
      <x:c r="D7" s="36" t="str">
        <x:f>IF(Hackathons!Q5="","",Hackathons!Q5)</x:f>
        <x:v>1st Place</x:v>
      </x:c>
      <x:c r="E7" s="36" t="str">
        <x:f>IF(Hackathons!R5="","",Hackathons!R5)</x:f>
        <x:v>Best Use of IBM Bluemix</x:v>
      </x:c>
      <x:c r="F7" s="39" t="n">
        <x:f>IF(Hackathons!AH5="","",Hackathons!AH5)</x:f>
        <x:v>4</x:v>
      </x:c>
      <x:c r="G7" s="36" t="str">
        <x:f>IF(Hackathons!AI5="","",Hackathons!AI5)</x:f>
        <x:v>Per Team</x:v>
      </x:c>
      <x:c r="H7" s="40" t="str">
        <x:f>IF(Hackathons!S5="","",IF(G7="Per Team Member",Hackathons!S5*F7,Hackathons!S5))</x:f>
      </x:c>
      <x:c r="I7" s="36" t="str">
        <x:f>IF(Hackathons!T5="","",Hackathons!T5)</x:f>
      </x:c>
      <x:c r="J7" s="498" t="str">
        <x:f>IF(OR(H7="",F7=""),"",H7/F7)</x:f>
      </x:c>
      <x:c r="K7" s="40" t="n">
        <x:f>IF(Hackathons!U5="","",IF(G7="Per Team Member",Hackathons!U5*F7,Hackathons!U5))</x:f>
        <x:v>100000</x:v>
      </x:c>
      <x:c r="L7" s="36" t="str">
        <x:f>IF(Hackathons!V5="","",Hackathons!V5)</x:f>
        <x:v>USD</x:v>
      </x:c>
      <x:c r="M7" s="498" t="n">
        <x:f>IF(OR(K7="",F7=""),"",K7/F7)</x:f>
        <x:v>25000</x:v>
      </x:c>
      <x:c r="N7" s="39" t="str">
        <x:f>IF(Hackathons!W5="","",IF(G7="Per Team Member",Hackathons!W5*F7,Hackathons!W5))</x:f>
      </x:c>
      <x:c r="O7" s="40" t="str">
        <x:f>IF(Hackathons!X5="","",IF(G7="Per Team Member",Hackathons!X5*F7,Hackathons!X5))</x:f>
      </x:c>
      <x:c r="P7" s="36" t="str">
        <x:f>IF(Hackathons!Y5="","",Hackathons!Y5)</x:f>
      </x:c>
      <x:c r="Q7" s="498" t="str">
        <x:f>IF(OR(O7="",F7=""),"",O7/F7)</x:f>
      </x:c>
      <x:c r="R7" s="40" t="str">
        <x:f>IF(Hackathons!AC5="","",IF(G7="Per Team Member",Hackathons!AC5*F7,Hackathons!AC5))</x:f>
      </x:c>
      <x:c r="S7" s="36" t="str">
        <x:f>IF(Hackathons!AD5="","",Hackathons!AD5)</x:f>
      </x:c>
      <x:c r="T7" s="498" t="str">
        <x:f>IF(OR(R7="",F7="",F7=0),"",R7/F7)</x:f>
      </x:c>
      <x:c r="U7" s="36" t="str">
        <x:f>IF(Hackathons!Z5="","",Hackathons!Z5)</x:f>
        <x:v>IBM Bluemix credits; SmartWatch</x:v>
      </x:c>
      <x:c r="V7" s="36" t="str">
        <x:f>IF(Hackathons!AA5="","",Hackathons!AA5)</x:f>
        <x:v>SmartWatch</x:v>
      </x:c>
      <x:c r="W7" s="39" t="str">
        <x:f>IF(Hackathons!AB5="","",Hackathons!AB5)</x:f>
      </x:c>
      <x:c r="X7" s="36" t="str">
        <x:f>IF(Hackathons!AE5="","",Hackathons!AE5)</x:f>
        <x:v>Exclude</x:v>
      </x:c>
      <x:c r="Y7" s="36" t="str">
        <x:f>IF(Hackathons!AF5="","",Hackathons!AF5)</x:f>
        <x:v>US$100,000 IBM Bluemix credit value</x:v>
      </x:c>
    </x:row>
    <x:row r="8">
      <x:c r="A8" s="36" t="n">
        <x:f>Hackathons!A11</x:f>
        <x:v>10</x:v>
      </x:c>
      <x:c r="B8" s="36" t="str">
        <x:f>Hackathons!B11</x:f>
        <x:v>DataDriven Hackathon 2017</x:v>
      </x:c>
      <x:c r="C8" s="36" t="str">
        <x:f>Hackathons!AG11</x:f>
        <x:v>Best Project</x:v>
      </x:c>
      <x:c r="D8" s="36" t="str">
        <x:f>IF(Hackathons!Q11="","",Hackathons!Q11)</x:f>
        <x:v>Best Project</x:v>
      </x:c>
      <x:c r="E8" s="36" t="str">
        <x:f>IF(Hackathons!R11="","",Hackathons!R11)</x:f>
        <x:v>Rated best project</x:v>
      </x:c>
      <x:c r="F8" s="39" t="n">
        <x:f>IF(Hackathons!AH11="","",Hackathons!AH11)</x:f>
        <x:v>3</x:v>
      </x:c>
      <x:c r="G8" s="36" t="str">
        <x:f>IF(Hackathons!AI11="","",Hackathons!AI11)</x:f>
        <x:v>Per Team</x:v>
      </x:c>
      <x:c r="H8" s="40" t="str">
        <x:f>IF(Hackathons!S11="","",IF(G8="Per Team Member",Hackathons!S11*F8,Hackathons!S11))</x:f>
      </x:c>
      <x:c r="I8" s="36" t="str">
        <x:f>IF(Hackathons!T11="","",Hackathons!T11)</x:f>
      </x:c>
      <x:c r="J8" s="498" t="str">
        <x:f>IF(OR(H8="",F8=""),"",H8/F8)</x:f>
      </x:c>
      <x:c r="K8" s="40" t="str">
        <x:f>IF(Hackathons!U11="","",IF(G8="Per Team Member",Hackathons!U11*F8,Hackathons!U11))</x:f>
      </x:c>
      <x:c r="L8" s="36" t="str">
        <x:f>IF(Hackathons!V11="","",Hackathons!V11)</x:f>
      </x:c>
      <x:c r="M8" s="498" t="str">
        <x:f>IF(OR(K8="",F8=""),"",K8/F8)</x:f>
      </x:c>
      <x:c r="N8" s="39" t="str">
        <x:f>IF(Hackathons!W11="","",IF(G8="Per Team Member",Hackathons!W11*F8,Hackathons!W11))</x:f>
      </x:c>
      <x:c r="O8" s="40" t="str">
        <x:f>IF(Hackathons!X11="","",IF(G8="Per Team Member",Hackathons!X11*F8,Hackathons!X11))</x:f>
      </x:c>
      <x:c r="P8" s="36" t="str">
        <x:f>IF(Hackathons!Y11="","",Hackathons!Y11)</x:f>
      </x:c>
      <x:c r="Q8" s="498" t="str">
        <x:f>IF(OR(O8="",F8=""),"",O8/F8)</x:f>
      </x:c>
      <x:c r="R8" s="40" t="str">
        <x:f>IF(Hackathons!AC11="","",IF(G8="Per Team Member",Hackathons!AC11*F8,Hackathons!AC11))</x:f>
      </x:c>
      <x:c r="S8" s="36" t="str">
        <x:f>IF(Hackathons!AD11="","",Hackathons!AD11)</x:f>
      </x:c>
      <x:c r="T8" s="498" t="str">
        <x:f>IF(OR(R8="",F8="",F8=0),"",R8/F8)</x:f>
      </x:c>
      <x:c r="U8" s="36" t="str">
        <x:f>IF(Hackathons!Z11="","",Hackathons!Z11)</x:f>
      </x:c>
      <x:c r="V8" s="36" t="str">
        <x:f>IF(Hackathons!AA11="","",Hackathons!AA11)</x:f>
      </x:c>
      <x:c r="W8" s="39" t="str">
        <x:f>IF(Hackathons!AB11="","",Hackathons!AB11)</x:f>
      </x:c>
      <x:c r="X8" s="36" t="str">
        <x:f>IF(Hackathons!AE11="","",Hackathons!AE11)</x:f>
        <x:v>Exclude</x:v>
      </x:c>
      <x:c r="Y8" s="36" t="str">
        <x:f>IF(Hackathons!AF11="","",Hackathons!AF11)</x:f>
        <x:v>Recognition only</x:v>
      </x:c>
    </x:row>
    <x:row r="9">
      <x:c r="A9" s="36" t="n">
        <x:f>Hackathons!A15</x:f>
        <x:v>14</x:v>
      </x:c>
      <x:c r="B9" s="36" t="e">
        <x:f>Hackathons!B15</x:f>
        <x:v>#SPSEC SP Hackathon 2018</x:v>
      </x:c>
      <x:c r="C9" s="36" t="str">
        <x:f>Hackathons!AG15</x:f>
        <x:v>3rd Place — S$100 Capitaland Voucher Each</x:v>
      </x:c>
      <x:c r="D9" s="36" t="str">
        <x:f>IF(Hackathons!Q15="","",Hackathons!Q15)</x:f>
        <x:v>3rd Place</x:v>
      </x:c>
      <x:c r="E9" s="36" t="str">
        <x:f>IF(Hackathons!R15="","",Hackathons!R15)</x:f>
      </x:c>
      <x:c r="F9" s="39" t="n">
        <x:f>IF(Hackathons!AH15="","",Hackathons!AH15)</x:f>
        <x:v>2</x:v>
      </x:c>
      <x:c r="G9" s="36" t="str">
        <x:f>IF(Hackathons!AI15="","",Hackathons!AI15)</x:f>
        <x:v>Per Team Member</x:v>
      </x:c>
      <x:c r="H9" s="40" t="n">
        <x:f>IF(Hackathons!S15="","",IF(G9="Per Team Member",Hackathons!S15*F9,Hackathons!S15))</x:f>
        <x:v>200</x:v>
      </x:c>
      <x:c r="I9" s="36" t="str">
        <x:f>IF(Hackathons!T15="","",Hackathons!T15)</x:f>
        <x:v>SGD</x:v>
      </x:c>
      <x:c r="J9" s="498" t="n">
        <x:f>IF(OR(H9="",F9=""),"",H9/F9)</x:f>
        <x:v>100</x:v>
      </x:c>
      <x:c r="K9" s="40" t="str">
        <x:f>IF(Hackathons!U15="","",IF(G9="Per Team Member",Hackathons!U15*F9,Hackathons!U15))</x:f>
      </x:c>
      <x:c r="L9" s="36" t="str">
        <x:f>IF(Hackathons!V15="","",Hackathons!V15)</x:f>
      </x:c>
      <x:c r="M9" s="498" t="str">
        <x:f>IF(OR(K9="",F9=""),"",K9/F9)</x:f>
      </x:c>
      <x:c r="N9" s="39" t="str">
        <x:f>IF(Hackathons!W15="","",IF(G9="Per Team Member",Hackathons!W15*F9,Hackathons!W15))</x:f>
      </x:c>
      <x:c r="O9" s="40" t="str">
        <x:f>IF(Hackathons!X15="","",IF(G9="Per Team Member",Hackathons!X15*F9,Hackathons!X15))</x:f>
      </x:c>
      <x:c r="P9" s="36" t="str">
        <x:f>IF(Hackathons!Y15="","",Hackathons!Y15)</x:f>
      </x:c>
      <x:c r="Q9" s="498" t="str">
        <x:f>IF(OR(O9="",F9=""),"",O9/F9)</x:f>
      </x:c>
      <x:c r="R9" s="40" t="str">
        <x:f>IF(Hackathons!AC15="","",IF(G9="Per Team Member",Hackathons!AC15*F9,Hackathons!AC15))</x:f>
      </x:c>
      <x:c r="S9" s="36" t="str">
        <x:f>IF(Hackathons!AD15="","",Hackathons!AD15)</x:f>
      </x:c>
      <x:c r="T9" s="498" t="str">
        <x:f>IF(OR(R9="",F9="",F9=0),"",R9/F9)</x:f>
      </x:c>
      <x:c r="U9" s="36" t="str">
        <x:f>IF(Hackathons!Z15="","",Hackathons!Z15)</x:f>
        <x:v>S$100 Capitaland voucher</x:v>
      </x:c>
      <x:c r="V9" s="36" t="str">
        <x:f>IF(Hackathons!AA15="","",Hackathons!AA15)</x:f>
      </x:c>
      <x:c r="W9" s="39" t="str">
        <x:f>IF(Hackathons!AB15="","",Hackathons!AB15)</x:f>
      </x:c>
      <x:c r="X9" s="36" t="str">
        <x:f>IF(Hackathons!AE15="","",Hackathons!AE15)</x:f>
        <x:v>Yes</x:v>
      </x:c>
      <x:c r="Y9" s="36" t="str">
        <x:f>IF(Hackathons!AF15="","",Hackathons!AF15)</x:f>
        <x:v>Voucher counted as cash equivalent</x:v>
      </x:c>
    </x:row>
    <x:row r="10">
      <x:c r="A10" s="36" t="n">
        <x:f>Hackathons!A18</x:f>
        <x:v>17</x:v>
      </x:c>
      <x:c r="B10" s="36" t="e">
        <x:f>Hackathons!B18</x:f>
        <x:v>#Mosque-Tech Challenge 2018</x:v>
      </x:c>
      <x:c r="C10" s="36" t="str">
        <x:f>Hackathons!AG18</x:f>
        <x:v>2nd Place — S$600 Cash</x:v>
      </x:c>
      <x:c r="D10" s="36" t="str">
        <x:f>IF(Hackathons!Q18="","",Hackathons!Q18)</x:f>
        <x:v>2nd Place</x:v>
      </x:c>
      <x:c r="E10" s="36" t="str">
        <x:f>IF(Hackathons!R18="","",Hackathons!R18)</x:f>
      </x:c>
      <x:c r="F10" s="39" t="n">
        <x:f>IF(Hackathons!AH18="","",Hackathons!AH18)</x:f>
        <x:v>3</x:v>
      </x:c>
      <x:c r="G10" s="36" t="str">
        <x:f>IF(Hackathons!AI18="","",Hackathons!AI18)</x:f>
        <x:v>Per Team</x:v>
      </x:c>
      <x:c r="H10" s="40" t="n">
        <x:f>IF(Hackathons!S18="","",IF(G10="Per Team Member",Hackathons!S18*F10,Hackathons!S18))</x:f>
        <x:v>600</x:v>
      </x:c>
      <x:c r="I10" s="36" t="str">
        <x:f>IF(Hackathons!T18="","",Hackathons!T18)</x:f>
        <x:v>SGD</x:v>
      </x:c>
      <x:c r="J10" s="498" t="n">
        <x:f>IF(OR(H10="",F10=""),"",H10/F10)</x:f>
        <x:v>200</x:v>
      </x:c>
      <x:c r="K10" s="40" t="str">
        <x:f>IF(Hackathons!U18="","",IF(G10="Per Team Member",Hackathons!U18*F10,Hackathons!U18))</x:f>
      </x:c>
      <x:c r="L10" s="36" t="str">
        <x:f>IF(Hackathons!V18="","",Hackathons!V18)</x:f>
      </x:c>
      <x:c r="M10" s="498" t="str">
        <x:f>IF(OR(K10="",F10=""),"",K10/F10)</x:f>
      </x:c>
      <x:c r="N10" s="39" t="str">
        <x:f>IF(Hackathons!W18="","",IF(G10="Per Team Member",Hackathons!W18*F10,Hackathons!W18))</x:f>
      </x:c>
      <x:c r="O10" s="40" t="str">
        <x:f>IF(Hackathons!X18="","",IF(G10="Per Team Member",Hackathons!X18*F10,Hackathons!X18))</x:f>
      </x:c>
      <x:c r="P10" s="36" t="str">
        <x:f>IF(Hackathons!Y18="","",Hackathons!Y18)</x:f>
      </x:c>
      <x:c r="Q10" s="498" t="str">
        <x:f>IF(OR(O10="",F10=""),"",O10/F10)</x:f>
      </x:c>
      <x:c r="R10" s="40" t="str">
        <x:f>IF(Hackathons!AC18="","",IF(G10="Per Team Member",Hackathons!AC18*F10,Hackathons!AC18))</x:f>
      </x:c>
      <x:c r="S10" s="36" t="str">
        <x:f>IF(Hackathons!AD18="","",Hackathons!AD18)</x:f>
      </x:c>
      <x:c r="T10" s="498" t="str">
        <x:f>IF(OR(R10="",F10="",F10=0),"",R10/F10)</x:f>
      </x:c>
      <x:c r="U10" s="36" t="str">
        <x:f>IF(Hackathons!Z18="","",Hackathons!Z18)</x:f>
      </x:c>
      <x:c r="V10" s="36" t="str">
        <x:f>IF(Hackathons!AA18="","",Hackathons!AA18)</x:f>
      </x:c>
      <x:c r="W10" s="39" t="str">
        <x:f>IF(Hackathons!AB18="","",Hackathons!AB18)</x:f>
      </x:c>
      <x:c r="X10" s="36" t="str">
        <x:f>IF(Hackathons!AE18="","",Hackathons!AE18)</x:f>
        <x:v>Yes</x:v>
      </x:c>
      <x:c r="Y10" s="36" t="str">
        <x:f>IF(Hackathons!AF18="","",Hackathons!AF18)</x:f>
        <x:v>Explicit cash</x:v>
      </x:c>
    </x:row>
    <x:row r="11">
      <x:c r="A11" s="36" t="n">
        <x:f>Hackathons!A26</x:f>
        <x:v>25</x:v>
      </x:c>
      <x:c r="B11" s="36" t="e">
        <x:f>Hackathons!B26</x:f>
        <x:v>#Mosque Hackathon 2019</x:v>
      </x:c>
      <x:c r="C11" s="36" t="str">
        <x:f>Hackathons!AG26</x:f>
        <x:v>3rd Place — S$500 Cash</x:v>
      </x:c>
      <x:c r="D11" s="36" t="str">
        <x:f>IF(Hackathons!Q26="","",Hackathons!Q26)</x:f>
        <x:v>3rd Place</x:v>
      </x:c>
      <x:c r="E11" s="36" t="str">
        <x:f>IF(Hackathons!R26="","",Hackathons!R26)</x:f>
      </x:c>
      <x:c r="F11" s="39" t="n">
        <x:f>IF(Hackathons!AH26="","",Hackathons!AH26)</x:f>
        <x:v>6</x:v>
      </x:c>
      <x:c r="G11" s="36" t="str">
        <x:f>IF(Hackathons!AI26="","",Hackathons!AI26)</x:f>
        <x:v>Per Team</x:v>
      </x:c>
      <x:c r="H11" s="40" t="n">
        <x:f>IF(Hackathons!S26="","",IF(G11="Per Team Member",Hackathons!S26*F11,Hackathons!S26))</x:f>
        <x:v>500</x:v>
      </x:c>
      <x:c r="I11" s="36" t="str">
        <x:f>IF(Hackathons!T26="","",Hackathons!T26)</x:f>
        <x:v>SGD</x:v>
      </x:c>
      <x:c r="J11" s="498" t="n">
        <x:f>IF(OR(H11="",F11=""),"",H11/F11)</x:f>
        <x:v>83.33333333333333</x:v>
      </x:c>
      <x:c r="K11" s="40" t="str">
        <x:f>IF(Hackathons!U26="","",IF(G11="Per Team Member",Hackathons!U26*F11,Hackathons!U26))</x:f>
      </x:c>
      <x:c r="L11" s="36" t="str">
        <x:f>IF(Hackathons!V26="","",Hackathons!V26)</x:f>
      </x:c>
      <x:c r="M11" s="498" t="str">
        <x:f>IF(OR(K11="",F11=""),"",K11/F11)</x:f>
      </x:c>
      <x:c r="N11" s="39" t="str">
        <x:f>IF(Hackathons!W26="","",IF(G11="Per Team Member",Hackathons!W26*F11,Hackathons!W26))</x:f>
      </x:c>
      <x:c r="O11" s="40" t="str">
        <x:f>IF(Hackathons!X26="","",IF(G11="Per Team Member",Hackathons!X26*F11,Hackathons!X26))</x:f>
      </x:c>
      <x:c r="P11" s="36" t="str">
        <x:f>IF(Hackathons!Y26="","",Hackathons!Y26)</x:f>
      </x:c>
      <x:c r="Q11" s="498" t="str">
        <x:f>IF(OR(O11="",F11=""),"",O11/F11)</x:f>
      </x:c>
      <x:c r="R11" s="40" t="str">
        <x:f>IF(Hackathons!AC26="","",IF(G11="Per Team Member",Hackathons!AC26*F11,Hackathons!AC26))</x:f>
      </x:c>
      <x:c r="S11" s="36" t="str">
        <x:f>IF(Hackathons!AD26="","",Hackathons!AD26)</x:f>
      </x:c>
      <x:c r="T11" s="498" t="str">
        <x:f>IF(OR(R11="",F11="",F11=0),"",R11/F11)</x:f>
      </x:c>
      <x:c r="U11" s="36" t="str">
        <x:f>IF(Hackathons!Z26="","",Hackathons!Z26)</x:f>
      </x:c>
      <x:c r="V11" s="36" t="str">
        <x:f>IF(Hackathons!AA26="","",Hackathons!AA26)</x:f>
      </x:c>
      <x:c r="W11" s="39" t="str">
        <x:f>IF(Hackathons!AB26="","",Hackathons!AB26)</x:f>
      </x:c>
      <x:c r="X11" s="36" t="str">
        <x:f>IF(Hackathons!AE26="","",Hackathons!AE26)</x:f>
        <x:v>Yes</x:v>
      </x:c>
      <x:c r="Y11" s="36" t="str">
        <x:f>IF(Hackathons!AF26="","",Hackathons!AF26)</x:f>
        <x:v>Explicit cash</x:v>
      </x:c>
    </x:row>
    <x:row r="12">
      <x:c r="A12" s="36" t="n">
        <x:f>Hackathons!A34</x:f>
        <x:v>33</x:v>
      </x:c>
      <x:c r="B12" s="36" t="str">
        <x:f>Hackathons!B34</x:f>
        <x:v>ICP Ideathon 2023</x:v>
      </x:c>
      <x:c r="C12" s="36" t="str">
        <x:f>Hackathons!AG34</x:f>
        <x:v>3rd Place — S$250 Cash</x:v>
      </x:c>
      <x:c r="D12" s="36" t="str">
        <x:f>IF(Hackathons!Q34="","",Hackathons!Q34)</x:f>
        <x:v>3rd Place</x:v>
      </x:c>
      <x:c r="E12" s="36" t="str">
        <x:f>IF(Hackathons!R34="","",Hackathons!R34)</x:f>
      </x:c>
      <x:c r="F12" s="39" t="n">
        <x:f>IF(Hackathons!AH34="","",Hackathons!AH34)</x:f>
        <x:v>2</x:v>
      </x:c>
      <x:c r="G12" s="36" t="str">
        <x:f>IF(Hackathons!AI34="","",Hackathons!AI34)</x:f>
        <x:v>Per Team</x:v>
      </x:c>
      <x:c r="H12" s="40" t="n">
        <x:f>IF(Hackathons!S34="","",IF(G12="Per Team Member",Hackathons!S34*F12,Hackathons!S34))</x:f>
        <x:v>250</x:v>
      </x:c>
      <x:c r="I12" s="36" t="str">
        <x:f>IF(Hackathons!T34="","",Hackathons!T34)</x:f>
        <x:v>SGD</x:v>
      </x:c>
      <x:c r="J12" s="498" t="n">
        <x:f>IF(OR(H12="",F12=""),"",H12/F12)</x:f>
        <x:v>125</x:v>
      </x:c>
      <x:c r="K12" s="40" t="str">
        <x:f>IF(Hackathons!U34="","",IF(G12="Per Team Member",Hackathons!U34*F12,Hackathons!U34))</x:f>
      </x:c>
      <x:c r="L12" s="36" t="str">
        <x:f>IF(Hackathons!V34="","",Hackathons!V34)</x:f>
      </x:c>
      <x:c r="M12" s="498" t="str">
        <x:f>IF(OR(K12="",F12=""),"",K12/F12)</x:f>
      </x:c>
      <x:c r="N12" s="39" t="str">
        <x:f>IF(Hackathons!W34="","",IF(G12="Per Team Member",Hackathons!W34*F12,Hackathons!W34))</x:f>
      </x:c>
      <x:c r="O12" s="40" t="str">
        <x:f>IF(Hackathons!X34="","",IF(G12="Per Team Member",Hackathons!X34*F12,Hackathons!X34))</x:f>
      </x:c>
      <x:c r="P12" s="36" t="str">
        <x:f>IF(Hackathons!Y34="","",Hackathons!Y34)</x:f>
      </x:c>
      <x:c r="Q12" s="498" t="str">
        <x:f>IF(OR(O12="",F12=""),"",O12/F12)</x:f>
      </x:c>
      <x:c r="R12" s="40" t="str">
        <x:f>IF(Hackathons!AC34="","",IF(G12="Per Team Member",Hackathons!AC34*F12,Hackathons!AC34))</x:f>
      </x:c>
      <x:c r="S12" s="36" t="str">
        <x:f>IF(Hackathons!AD34="","",Hackathons!AD34)</x:f>
      </x:c>
      <x:c r="T12" s="498" t="str">
        <x:f>IF(OR(R12="",F12="",F12=0),"",R12/F12)</x:f>
      </x:c>
      <x:c r="U12" s="36" t="str">
        <x:f>IF(Hackathons!Z34="","",Hackathons!Z34)</x:f>
      </x:c>
      <x:c r="V12" s="36" t="str">
        <x:f>IF(Hackathons!AA34="","",Hackathons!AA34)</x:f>
      </x:c>
      <x:c r="W12" s="39" t="str">
        <x:f>IF(Hackathons!AB34="","",Hackathons!AB34)</x:f>
      </x:c>
      <x:c r="X12" s="36" t="str">
        <x:f>IF(Hackathons!AE34="","",Hackathons!AE34)</x:f>
        <x:v>Yes</x:v>
      </x:c>
      <x:c r="Y12" s="36" t="str">
        <x:f>IF(Hackathons!AF34="","",Hackathons!AF34)</x:f>
        <x:v>Confirmed cash</x:v>
      </x:c>
    </x:row>
    <x:row r="13">
      <x:c r="A13" s="36" t="n">
        <x:f>Hackathons!A36</x:f>
        <x:v>35</x:v>
      </x:c>
      <x:c r="B13" s="36" t="str">
        <x:f>Hackathons!B36</x:f>
        <x:v>Mosque Tech Challenge 2025</x:v>
      </x:c>
      <x:c r="C13" s="36" t="str">
        <x:f>Hackathons!AG36</x:f>
        <x:v>2nd Place — S$1,000 Cash</x:v>
      </x:c>
      <x:c r="D13" s="36" t="str">
        <x:f>IF(Hackathons!Q36="","",Hackathons!Q36)</x:f>
        <x:v>2nd Place</x:v>
      </x:c>
      <x:c r="E13" s="36" t="str">
        <x:f>IF(Hackathons!R36="","",Hackathons!R36)</x:f>
      </x:c>
      <x:c r="F13" s="39" t="n">
        <x:f>IF(Hackathons!AH36="","",Hackathons!AH36)</x:f>
        <x:v>4</x:v>
      </x:c>
      <x:c r="G13" s="36" t="str">
        <x:f>IF(Hackathons!AI36="","",Hackathons!AI36)</x:f>
        <x:v>Per Team</x:v>
      </x:c>
      <x:c r="H13" s="40" t="n">
        <x:f>IF(Hackathons!S36="","",IF(G13="Per Team Member",Hackathons!S36*F13,Hackathons!S36))</x:f>
        <x:v>1000</x:v>
      </x:c>
      <x:c r="I13" s="36" t="str">
        <x:f>IF(Hackathons!T36="","",Hackathons!T36)</x:f>
        <x:v>SGD</x:v>
      </x:c>
      <x:c r="J13" s="498" t="n">
        <x:f>IF(OR(H13="",F13=""),"",H13/F13)</x:f>
        <x:v>250</x:v>
      </x:c>
      <x:c r="K13" s="40" t="str">
        <x:f>IF(Hackathons!U36="","",IF(G13="Per Team Member",Hackathons!U36*F13,Hackathons!U36))</x:f>
      </x:c>
      <x:c r="L13" s="36" t="str">
        <x:f>IF(Hackathons!V36="","",Hackathons!V36)</x:f>
      </x:c>
      <x:c r="M13" s="498" t="str">
        <x:f>IF(OR(K13="",F13=""),"",K13/F13)</x:f>
      </x:c>
      <x:c r="N13" s="39" t="str">
        <x:f>IF(Hackathons!W36="","",IF(G13="Per Team Member",Hackathons!W36*F13,Hackathons!W36))</x:f>
      </x:c>
      <x:c r="O13" s="40" t="str">
        <x:f>IF(Hackathons!X36="","",IF(G13="Per Team Member",Hackathons!X36*F13,Hackathons!X36))</x:f>
      </x:c>
      <x:c r="P13" s="36" t="str">
        <x:f>IF(Hackathons!Y36="","",Hackathons!Y36)</x:f>
      </x:c>
      <x:c r="Q13" s="498" t="str">
        <x:f>IF(OR(O13="",F13=""),"",O13/F13)</x:f>
      </x:c>
      <x:c r="R13" s="40" t="str">
        <x:f>IF(Hackathons!AC36="","",IF(G13="Per Team Member",Hackathons!AC36*F13,Hackathons!AC36))</x:f>
      </x:c>
      <x:c r="S13" s="36" t="str">
        <x:f>IF(Hackathons!AD36="","",Hackathons!AD36)</x:f>
      </x:c>
      <x:c r="T13" s="498" t="str">
        <x:f>IF(OR(R13="",F13="",F13=0),"",R13/F13)</x:f>
      </x:c>
      <x:c r="U13" s="36" t="str">
        <x:f>IF(Hackathons!Z36="","",Hackathons!Z36)</x:f>
      </x:c>
      <x:c r="V13" s="36" t="str">
        <x:f>IF(Hackathons!AA36="","",Hackathons!AA36)</x:f>
      </x:c>
      <x:c r="W13" s="39" t="str">
        <x:f>IF(Hackathons!AB36="","",Hackathons!AB36)</x:f>
      </x:c>
      <x:c r="X13" s="36" t="str">
        <x:f>IF(Hackathons!AE36="","",Hackathons!AE36)</x:f>
        <x:v>Yes</x:v>
      </x:c>
      <x:c r="Y13" s="36" t="str">
        <x:f>IF(Hackathons!AF36="","",Hackathons!AF36)</x:f>
        <x:v>Confirmed cash</x:v>
      </x:c>
    </x:row>
    <x:row r="14">
      <x:c r="A14" s="36" t="n">
        <x:f>Hackathons!A39</x:f>
        <x:v>38</x:v>
      </x:c>
      <x:c r="B14" s="36" t="str">
        <x:f>Hackathons!B39</x:f>
        <x:v>OOJU X Manus.AI Hackathon 2025</x:v>
      </x:c>
      <x:c r="C14" s="36" t="str">
        <x:f>Hackathons!AG39</x:f>
        <x:v>2nd Place — Manus Pro Subscription (US$39/month each)</x:v>
      </x:c>
      <x:c r="D14" s="36" t="str">
        <x:f>IF(Hackathons!Q39="","",Hackathons!Q39)</x:f>
        <x:v>2nd Prize</x:v>
      </x:c>
      <x:c r="E14" s="36" t="str">
        <x:f>IF(Hackathons!R39="","",Hackathons!R39)</x:f>
      </x:c>
      <x:c r="F14" s="39" t="n">
        <x:f>IF(Hackathons!AH39="","",Hackathons!AH39)</x:f>
        <x:v>4</x:v>
      </x:c>
      <x:c r="G14" s="36" t="str">
        <x:f>IF(Hackathons!AI39="","",Hackathons!AI39)</x:f>
        <x:v>Per Team Member</x:v>
      </x:c>
      <x:c r="H14" s="40" t="str">
        <x:f>IF(Hackathons!S39="","",IF(G14="Per Team Member",Hackathons!S39*F14,Hackathons!S39))</x:f>
      </x:c>
      <x:c r="I14" s="36" t="str">
        <x:f>IF(Hackathons!T39="","",Hackathons!T39)</x:f>
      </x:c>
      <x:c r="J14" s="498" t="str">
        <x:f>IF(OR(H14="",F14=""),"",H14/F14)</x:f>
      </x:c>
      <x:c r="K14" s="40" t="str">
        <x:f>IF(Hackathons!U39="","",IF(G14="Per Team Member",Hackathons!U39*F14,Hackathons!U39))</x:f>
      </x:c>
      <x:c r="L14" s="36" t="str">
        <x:f>IF(Hackathons!V39="","",Hackathons!V39)</x:f>
      </x:c>
      <x:c r="M14" s="498" t="str">
        <x:f>IF(OR(K14="",F14=""),"",K14/F14)</x:f>
      </x:c>
      <x:c r="N14" s="39" t="n">
        <x:f>IF(Hackathons!W39="","",IF(G14="Per Team Member",Hackathons!W39*F14,Hackathons!W39))</x:f>
        <x:v>4</x:v>
      </x:c>
      <x:c r="O14" s="40" t="n">
        <x:f>IF(Hackathons!X39="","",IF(G14="Per Team Member",Hackathons!X39*F14,Hackathons!X39))</x:f>
        <x:v>156</x:v>
      </x:c>
      <x:c r="P14" s="36" t="str">
        <x:f>IF(Hackathons!Y39="","",Hackathons!Y39)</x:f>
        <x:v>USD</x:v>
      </x:c>
      <x:c r="Q14" s="498" t="n">
        <x:f>IF(OR(O14="",F14=""),"",O14/F14)</x:f>
        <x:v>39</x:v>
      </x:c>
      <x:c r="R14" s="40" t="str">
        <x:f>IF(Hackathons!AC39="","",IF(G14="Per Team Member",Hackathons!AC39*F14,Hackathons!AC39))</x:f>
      </x:c>
      <x:c r="S14" s="36" t="str">
        <x:f>IF(Hackathons!AD39="","",Hackathons!AD39)</x:f>
      </x:c>
      <x:c r="T14" s="498" t="str">
        <x:f>IF(OR(R14="",F14="",F14=0),"",R14/F14)</x:f>
      </x:c>
      <x:c r="U14" s="36" t="str">
        <x:f>IF(Hackathons!Z39="","",Hackathons!Z39)</x:f>
        <x:v>Manus Pro subscription</x:v>
      </x:c>
      <x:c r="V14" s="36" t="str">
        <x:f>IF(Hackathons!AA39="","",Hackathons!AA39)</x:f>
      </x:c>
      <x:c r="W14" s="39" t="str">
        <x:f>IF(Hackathons!AB39="","",Hackathons!AB39)</x:f>
      </x:c>
      <x:c r="X14" s="36" t="str">
        <x:f>IF(Hackathons!AE39="","",Hackathons!AE39)</x:f>
        <x:v>Exclude</x:v>
      </x:c>
      <x:c r="Y14" s="36" t="str">
        <x:f>IF(Hackathons!AF39="","",Hackathons!AF39)</x:f>
        <x:v>US$39 monthly value at award period</x:v>
      </x:c>
    </x:row>
    <x:row r="15">
      <x:c r="A15" s="36" t="n">
        <x:f>Hackathons!A41</x:f>
        <x:v>40</x:v>
      </x:c>
      <x:c r="B15" s="36" t="str">
        <x:f>Hackathons!B41</x:f>
        <x:v>Sarawak AI Hackathon 2025</x:v>
      </x:c>
      <x:c r="C15" s="36" t="str">
        <x:f>Hackathons!AG41</x:f>
        <x:v>Novel Hackathon Finisher — Trophy</x:v>
      </x:c>
      <x:c r="D15" s="36" t="str">
        <x:f>IF(Hackathons!Q41="","",Hackathons!Q41)</x:f>
        <x:v>Novel Hackathon Finisher</x:v>
      </x:c>
      <x:c r="E15" s="36" t="str">
        <x:f>IF(Hackathons!R41="","",Hackathons!R41)</x:f>
      </x:c>
      <x:c r="F15" s="39" t="n">
        <x:f>IF(Hackathons!AH41="","",Hackathons!AH41)</x:f>
        <x:v>2</x:v>
      </x:c>
      <x:c r="G15" s="36" t="str">
        <x:f>IF(Hackathons!AI41="","",Hackathons!AI41)</x:f>
        <x:v>Per Team</x:v>
      </x:c>
      <x:c r="H15" s="40" t="str">
        <x:f>IF(Hackathons!S41="","",IF(G15="Per Team Member",Hackathons!S41*F15,Hackathons!S41))</x:f>
      </x:c>
      <x:c r="I15" s="36" t="str">
        <x:f>IF(Hackathons!T41="","",Hackathons!T41)</x:f>
      </x:c>
      <x:c r="J15" s="498" t="str">
        <x:f>IF(OR(H15="",F15=""),"",H15/F15)</x:f>
      </x:c>
      <x:c r="K15" s="40" t="str">
        <x:f>IF(Hackathons!U41="","",IF(G15="Per Team Member",Hackathons!U41*F15,Hackathons!U41))</x:f>
      </x:c>
      <x:c r="L15" s="36" t="str">
        <x:f>IF(Hackathons!V41="","",Hackathons!V41)</x:f>
      </x:c>
      <x:c r="M15" s="498" t="str">
        <x:f>IF(OR(K15="",F15=""),"",K15/F15)</x:f>
      </x:c>
      <x:c r="N15" s="39" t="str">
        <x:f>IF(Hackathons!W41="","",IF(G15="Per Team Member",Hackathons!W41*F15,Hackathons!W41))</x:f>
      </x:c>
      <x:c r="O15" s="40" t="str">
        <x:f>IF(Hackathons!X41="","",IF(G15="Per Team Member",Hackathons!X41*F15,Hackathons!X41))</x:f>
      </x:c>
      <x:c r="P15" s="36" t="str">
        <x:f>IF(Hackathons!Y41="","",Hackathons!Y41)</x:f>
      </x:c>
      <x:c r="Q15" s="498" t="str">
        <x:f>IF(OR(O15="",F15=""),"",O15/F15)</x:f>
      </x:c>
      <x:c r="R15" s="40" t="str">
        <x:f>IF(Hackathons!AC41="","",IF(G15="Per Team Member",Hackathons!AC41*F15,Hackathons!AC41))</x:f>
      </x:c>
      <x:c r="S15" s="36" t="str">
        <x:f>IF(Hackathons!AD41="","",Hackathons!AD41)</x:f>
      </x:c>
      <x:c r="T15" s="498" t="str">
        <x:f>IF(OR(R15="",F15="",F15=0),"",R15/F15)</x:f>
      </x:c>
      <x:c r="U15" s="36" t="str">
        <x:f>IF(Hackathons!Z41="","",Hackathons!Z41)</x:f>
        <x:v>Trophy</x:v>
      </x:c>
      <x:c r="V15" s="36" t="str">
        <x:f>IF(Hackathons!AA41="","",Hackathons!AA41)</x:f>
        <x:v>Trophy</x:v>
      </x:c>
      <x:c r="W15" s="39" t="n">
        <x:f>IF(Hackathons!AB41="","",Hackathons!AB41)</x:f>
        <x:v>1</x:v>
      </x:c>
      <x:c r="X15" s="36" t="str">
        <x:f>IF(Hackathons!AE41="","",Hackathons!AE41)</x:f>
        <x:v>Exclude</x:v>
      </x:c>
      <x:c r="Y15" s="36" t="str">
        <x:f>IF(Hackathons!AF41="","",Hackathons!AF41)</x:f>
        <x:v>Trophy, not cash</x:v>
      </x:c>
    </x:row>
    <x:row r="16">
      <x:c r="A16" s="36" t="n">
        <x:f>Hackathons!A43</x:f>
        <x:v>42</x:v>
      </x:c>
      <x:c r="B16" s="36" t="str">
        <x:f>Hackathons!B43</x:f>
        <x:v>Nosana Hackathon 2025</x:v>
      </x:c>
      <x:c r="C16" s="36" t="str">
        <x:f>Hackathons!AG43</x:f>
        <x:v>1st Place — US$500 Nosana Cloud Credits</x:v>
      </x:c>
      <x:c r="D16" s="36" t="str">
        <x:f>IF(Hackathons!Q43="","",Hackathons!Q43)</x:f>
        <x:v>1st Prize</x:v>
      </x:c>
      <x:c r="E16" s="36" t="str">
        <x:f>IF(Hackathons!R43="","",Hackathons!R43)</x:f>
      </x:c>
      <x:c r="F16" s="39" t="n">
        <x:f>IF(Hackathons!AH43="","",Hackathons!AH43)</x:f>
        <x:v>1</x:v>
      </x:c>
      <x:c r="G16" s="36" t="str">
        <x:f>IF(Hackathons!AI43="","",Hackathons!AI43)</x:f>
        <x:v>Per Team</x:v>
      </x:c>
      <x:c r="H16" s="40" t="str">
        <x:f>IF(Hackathons!S43="","",IF(G16="Per Team Member",Hackathons!S43*F16,Hackathons!S43))</x:f>
      </x:c>
      <x:c r="I16" s="36" t="str">
        <x:f>IF(Hackathons!T43="","",Hackathons!T43)</x:f>
      </x:c>
      <x:c r="J16" s="498" t="str">
        <x:f>IF(OR(H16="",F16=""),"",H16/F16)</x:f>
      </x:c>
      <x:c r="K16" s="40" t="n">
        <x:f>IF(Hackathons!U43="","",IF(G16="Per Team Member",Hackathons!U43*F16,Hackathons!U43))</x:f>
        <x:v>500</x:v>
      </x:c>
      <x:c r="L16" s="36" t="str">
        <x:f>IF(Hackathons!V43="","",Hackathons!V43)</x:f>
        <x:v>USD</x:v>
      </x:c>
      <x:c r="M16" s="498" t="n">
        <x:f>IF(OR(K16="",F16=""),"",K16/F16)</x:f>
        <x:v>500</x:v>
      </x:c>
      <x:c r="N16" s="39" t="str">
        <x:f>IF(Hackathons!W43="","",IF(G16="Per Team Member",Hackathons!W43*F16,Hackathons!W43))</x:f>
      </x:c>
      <x:c r="O16" s="40" t="str">
        <x:f>IF(Hackathons!X43="","",IF(G16="Per Team Member",Hackathons!X43*F16,Hackathons!X43))</x:f>
      </x:c>
      <x:c r="P16" s="36" t="str">
        <x:f>IF(Hackathons!Y43="","",Hackathons!Y43)</x:f>
      </x:c>
      <x:c r="Q16" s="498" t="str">
        <x:f>IF(OR(O16="",F16=""),"",O16/F16)</x:f>
      </x:c>
      <x:c r="R16" s="40" t="str">
        <x:f>IF(Hackathons!AC43="","",IF(G16="Per Team Member",Hackathons!AC43*F16,Hackathons!AC43))</x:f>
      </x:c>
      <x:c r="S16" s="36" t="str">
        <x:f>IF(Hackathons!AD43="","",Hackathons!AD43)</x:f>
      </x:c>
      <x:c r="T16" s="498" t="str">
        <x:f>IF(OR(R16="",F16="",F16=0),"",R16/F16)</x:f>
      </x:c>
      <x:c r="U16" s="36" t="str">
        <x:f>IF(Hackathons!Z43="","",Hackathons!Z43)</x:f>
        <x:v>Nosana Cloud credit</x:v>
      </x:c>
      <x:c r="V16" s="36" t="str">
        <x:f>IF(Hackathons!AA43="","",Hackathons!AA43)</x:f>
      </x:c>
      <x:c r="W16" s="39" t="str">
        <x:f>IF(Hackathons!AB43="","",Hackathons!AB43)</x:f>
      </x:c>
      <x:c r="X16" s="36" t="str">
        <x:f>IF(Hackathons!AE43="","",Hackathons!AE43)</x:f>
        <x:v>Exclude</x:v>
      </x:c>
      <x:c r="Y16" s="36" t="str">
        <x:f>IF(Hackathons!AF43="","",Hackathons!AF43)</x:f>
        <x:v>Cloud credit, not cash</x:v>
      </x:c>
    </x:row>
    <x:row r="17">
      <x:c r="A17" s="36" t="n">
        <x:f>Hackathons!A51</x:f>
        <x:v>50</x:v>
      </x:c>
      <x:c r="B17" s="36" t="str">
        <x:f>Hackathons!B51</x:f>
        <x:v>Agentfield Hackathon 2026</x:v>
      </x:c>
      <x:c r="C17" s="36" t="str">
        <x:f>Hackathons!AG51</x:f>
        <x:v>1st Place — US$1,000 OpenRouter Credits</x:v>
      </x:c>
      <x:c r="D17" s="36" t="str">
        <x:f>IF(Hackathons!Q51="","",Hackathons!Q51)</x:f>
        <x:v>1st Prize</x:v>
      </x:c>
      <x:c r="E17" s="36" t="str">
        <x:f>IF(Hackathons!R51="","",Hackathons!R51)</x:f>
      </x:c>
      <x:c r="F17" s="39" t="n">
        <x:f>IF(Hackathons!AH51="","",Hackathons!AH51)</x:f>
        <x:v>3</x:v>
      </x:c>
      <x:c r="G17" s="36" t="str">
        <x:f>IF(Hackathons!AI51="","",Hackathons!AI51)</x:f>
        <x:v>Per Team</x:v>
      </x:c>
      <x:c r="H17" s="40" t="str">
        <x:f>IF(Hackathons!S51="","",IF(G17="Per Team Member",Hackathons!S51*F17,Hackathons!S51))</x:f>
      </x:c>
      <x:c r="I17" s="36" t="str">
        <x:f>IF(Hackathons!T51="","",Hackathons!T51)</x:f>
      </x:c>
      <x:c r="J17" s="498" t="str">
        <x:f>IF(OR(H17="",F17=""),"",H17/F17)</x:f>
      </x:c>
      <x:c r="K17" s="40" t="n">
        <x:f>IF(Hackathons!U51="","",IF(G17="Per Team Member",Hackathons!U51*F17,Hackathons!U51))</x:f>
        <x:v>1000</x:v>
      </x:c>
      <x:c r="L17" s="36" t="str">
        <x:f>IF(Hackathons!V51="","",Hackathons!V51)</x:f>
        <x:v>USD</x:v>
      </x:c>
      <x:c r="M17" s="498" t="n">
        <x:f>IF(OR(K17="",F17=""),"",K17/F17)</x:f>
        <x:v>333.3333333333333</x:v>
      </x:c>
      <x:c r="N17" s="39" t="str">
        <x:f>IF(Hackathons!W51="","",IF(G17="Per Team Member",Hackathons!W51*F17,Hackathons!W51))</x:f>
      </x:c>
      <x:c r="O17" s="40" t="str">
        <x:f>IF(Hackathons!X51="","",IF(G17="Per Team Member",Hackathons!X51*F17,Hackathons!X51))</x:f>
      </x:c>
      <x:c r="P17" s="36" t="str">
        <x:f>IF(Hackathons!Y51="","",Hackathons!Y51)</x:f>
      </x:c>
      <x:c r="Q17" s="498" t="str">
        <x:f>IF(OR(O17="",F17=""),"",O17/F17)</x:f>
      </x:c>
      <x:c r="R17" s="40" t="str">
        <x:f>IF(Hackathons!AC51="","",IF(G17="Per Team Member",Hackathons!AC51*F17,Hackathons!AC51))</x:f>
      </x:c>
      <x:c r="S17" s="36" t="str">
        <x:f>IF(Hackathons!AD51="","",Hackathons!AD51)</x:f>
      </x:c>
      <x:c r="T17" s="498" t="str">
        <x:f>IF(OR(R17="",F17="",F17=0),"",R17/F17)</x:f>
      </x:c>
      <x:c r="U17" s="36" t="str">
        <x:f>IF(Hackathons!Z51="","",Hackathons!Z51)</x:f>
        <x:v>OpenRouter credits</x:v>
      </x:c>
      <x:c r="V17" s="36" t="str">
        <x:f>IF(Hackathons!AA51="","",Hackathons!AA51)</x:f>
      </x:c>
      <x:c r="W17" s="39" t="str">
        <x:f>IF(Hackathons!AB51="","",Hackathons!AB51)</x:f>
      </x:c>
      <x:c r="X17" s="36" t="str">
        <x:f>IF(Hackathons!AE51="","",Hackathons!AE51)</x:f>
        <x:v>Exclude</x:v>
      </x:c>
      <x:c r="Y17" s="36" t="str">
        <x:f>IF(Hackathons!AF51="","",Hackathons!AF51)</x:f>
        <x:v>API credits, not cash</x:v>
      </x:c>
    </x:row>
    <x:row r="18">
      <x:c r="A18" s="36" t="n">
        <x:f>Hackathons!A53</x:f>
        <x:v>52</x:v>
      </x:c>
      <x:c r="B18" s="36" t="str">
        <x:f>Hackathons!B53</x:f>
        <x:v>AgentForce Hackathon 2026</x:v>
      </x:c>
      <x:c r="C18" s="36" t="str">
        <x:f>Hackathons!AG53</x:f>
        <x:v>1st Place — US$500 API Credits</x:v>
      </x:c>
      <x:c r="D18" s="36" t="str">
        <x:f>IF(Hackathons!Q53="","",Hackathons!Q53)</x:f>
        <x:v>1st Prize</x:v>
      </x:c>
      <x:c r="E18" s="36" t="str">
        <x:f>IF(Hackathons!R53="","",Hackathons!R53)</x:f>
      </x:c>
      <x:c r="F18" s="39" t="n">
        <x:f>IF(Hackathons!AH53="","",Hackathons!AH53)</x:f>
        <x:v>3</x:v>
      </x:c>
      <x:c r="G18" s="36" t="str">
        <x:f>IF(Hackathons!AI53="","",Hackathons!AI53)</x:f>
        <x:v>Per Team</x:v>
      </x:c>
      <x:c r="H18" s="40" t="str">
        <x:f>IF(Hackathons!S53="","",IF(G18="Per Team Member",Hackathons!S53*F18,Hackathons!S53))</x:f>
      </x:c>
      <x:c r="I18" s="36" t="str">
        <x:f>IF(Hackathons!T53="","",Hackathons!T53)</x:f>
      </x:c>
      <x:c r="J18" s="498" t="str">
        <x:f>IF(OR(H18="",F18=""),"",H18/F18)</x:f>
      </x:c>
      <x:c r="K18" s="40" t="n">
        <x:f>IF(Hackathons!U53="","",IF(G18="Per Team Member",Hackathons!U53*F18,Hackathons!U53))</x:f>
        <x:v>500</x:v>
      </x:c>
      <x:c r="L18" s="36" t="str">
        <x:f>IF(Hackathons!V53="","",Hackathons!V53)</x:f>
        <x:v>USD</x:v>
      </x:c>
      <x:c r="M18" s="498" t="n">
        <x:f>IF(OR(K18="",F18=""),"",K18/F18)</x:f>
        <x:v>166.66666666666666</x:v>
      </x:c>
      <x:c r="N18" s="39" t="str">
        <x:f>IF(Hackathons!W53="","",IF(G18="Per Team Member",Hackathons!W53*F18,Hackathons!W53))</x:f>
      </x:c>
      <x:c r="O18" s="40" t="str">
        <x:f>IF(Hackathons!X53="","",IF(G18="Per Team Member",Hackathons!X53*F18,Hackathons!X53))</x:f>
      </x:c>
      <x:c r="P18" s="36" t="str">
        <x:f>IF(Hackathons!Y53="","",Hackathons!Y53)</x:f>
      </x:c>
      <x:c r="Q18" s="498" t="str">
        <x:f>IF(OR(O18="",F18=""),"",O18/F18)</x:f>
      </x:c>
      <x:c r="R18" s="40" t="str">
        <x:f>IF(Hackathons!AC53="","",IF(G18="Per Team Member",Hackathons!AC53*F18,Hackathons!AC53))</x:f>
      </x:c>
      <x:c r="S18" s="36" t="str">
        <x:f>IF(Hackathons!AD53="","",Hackathons!AD53)</x:f>
      </x:c>
      <x:c r="T18" s="498" t="str">
        <x:f>IF(OR(R18="",F18="",F18=0),"",R18/F18)</x:f>
      </x:c>
      <x:c r="U18" s="36" t="str">
        <x:f>IF(Hackathons!Z53="","",Hackathons!Z53)</x:f>
        <x:v>API credits</x:v>
      </x:c>
      <x:c r="V18" s="36" t="str">
        <x:f>IF(Hackathons!AA53="","",Hackathons!AA53)</x:f>
      </x:c>
      <x:c r="W18" s="39" t="str">
        <x:f>IF(Hackathons!AB53="","",Hackathons!AB53)</x:f>
      </x:c>
      <x:c r="X18" s="36" t="str">
        <x:f>IF(Hackathons!AE53="","",Hackathons!AE53)</x:f>
        <x:v>Exclude</x:v>
      </x:c>
      <x:c r="Y18" s="36" t="str">
        <x:f>IF(Hackathons!AF53="","",Hackathons!AF53)</x:f>
        <x:v>API credits, not cash</x:v>
      </x:c>
    </x:row>
    <x:row r="19">
      <x:c r="A19" s="36" t="n">
        <x:f>Hackathons!A54</x:f>
        <x:v>53</x:v>
      </x:c>
      <x:c r="B19" s="36" t="str">
        <x:f>Hackathons!B54</x:f>
        <x:v>AgentForce Hackathon 2026</x:v>
      </x:c>
      <x:c r="C19" s="36" t="str">
        <x:f>Hackathons!AG54</x:f>
        <x:v>1st Place — US$500 API Credits</x:v>
      </x:c>
      <x:c r="D19" s="36" t="str">
        <x:f>IF(Hackathons!Q54="","",Hackathons!Q54)</x:f>
        <x:v>1st Prize</x:v>
      </x:c>
      <x:c r="E19" s="36" t="str">
        <x:f>IF(Hackathons!R54="","",Hackathons!R54)</x:f>
      </x:c>
      <x:c r="F19" s="39" t="n">
        <x:f>IF(Hackathons!AH54="","",Hackathons!AH54)</x:f>
        <x:v>3</x:v>
      </x:c>
      <x:c r="G19" s="36" t="str">
        <x:f>IF(Hackathons!AI54="","",Hackathons!AI54)</x:f>
        <x:v>Per Team</x:v>
      </x:c>
      <x:c r="H19" s="40" t="str">
        <x:f>IF(Hackathons!S54="","",IF(G19="Per Team Member",Hackathons!S54*F19,Hackathons!S54))</x:f>
      </x:c>
      <x:c r="I19" s="36" t="str">
        <x:f>IF(Hackathons!T54="","",Hackathons!T54)</x:f>
      </x:c>
      <x:c r="J19" s="498" t="str">
        <x:f>IF(OR(H19="",F19=""),"",H19/F19)</x:f>
      </x:c>
      <x:c r="K19" s="40" t="n">
        <x:f>IF(Hackathons!U54="","",IF(G19="Per Team Member",Hackathons!U54*F19,Hackathons!U54))</x:f>
        <x:v>500</x:v>
      </x:c>
      <x:c r="L19" s="36" t="str">
        <x:f>IF(Hackathons!V54="","",Hackathons!V54)</x:f>
        <x:v>USD</x:v>
      </x:c>
      <x:c r="M19" s="498" t="n">
        <x:f>IF(OR(K19="",F19=""),"",K19/F19)</x:f>
        <x:v>166.66666666666666</x:v>
      </x:c>
      <x:c r="N19" s="39" t="str">
        <x:f>IF(Hackathons!W54="","",IF(G19="Per Team Member",Hackathons!W54*F19,Hackathons!W54))</x:f>
      </x:c>
      <x:c r="O19" s="40" t="str">
        <x:f>IF(Hackathons!X54="","",IF(G19="Per Team Member",Hackathons!X54*F19,Hackathons!X54))</x:f>
      </x:c>
      <x:c r="P19" s="36" t="str">
        <x:f>IF(Hackathons!Y54="","",Hackathons!Y54)</x:f>
      </x:c>
      <x:c r="Q19" s="498" t="str">
        <x:f>IF(OR(O19="",F19=""),"",O19/F19)</x:f>
      </x:c>
      <x:c r="R19" s="40" t="str">
        <x:f>IF(Hackathons!AC54="","",IF(G19="Per Team Member",Hackathons!AC54*F19,Hackathons!AC54))</x:f>
      </x:c>
      <x:c r="S19" s="36" t="str">
        <x:f>IF(Hackathons!AD54="","",Hackathons!AD54)</x:f>
      </x:c>
      <x:c r="T19" s="498" t="str">
        <x:f>IF(OR(R19="",F19="",F19=0),"",R19/F19)</x:f>
      </x:c>
      <x:c r="U19" s="36" t="str">
        <x:f>IF(Hackathons!Z54="","",Hackathons!Z54)</x:f>
        <x:v>API credits</x:v>
      </x:c>
      <x:c r="V19" s="36" t="str">
        <x:f>IF(Hackathons!AA54="","",Hackathons!AA54)</x:f>
      </x:c>
      <x:c r="W19" s="39" t="str">
        <x:f>IF(Hackathons!AB54="","",Hackathons!AB54)</x:f>
      </x:c>
      <x:c r="X19" s="36" t="str">
        <x:f>IF(Hackathons!AE54="","",Hackathons!AE54)</x:f>
        <x:v>Exclude</x:v>
      </x:c>
      <x:c r="Y19" s="36" t="str">
        <x:f>IF(Hackathons!AF54="","",Hackathons!AF54)</x:f>
        <x:v>API credits, not cash</x:v>
      </x:c>
    </x:row>
    <x:row r="20">
      <x:c r="A20" s="36" t="n">
        <x:f>Hackathons!A55</x:f>
        <x:v>54</x:v>
      </x:c>
      <x:c r="B20" s="36" t="str">
        <x:f>Hackathons!B55</x:f>
        <x:v>SUSS X Openclaw Hackathon 2026</x:v>
      </x:c>
      <x:c r="C20" s="36" t="str">
        <x:f>Hackathons!AG55</x:f>
        <x:v>1st Place — US$150 Wavespeed AI Credits</x:v>
      </x:c>
      <x:c r="D20" s="36" t="str">
        <x:f>IF(Hackathons!Q55="","",Hackathons!Q55)</x:f>
        <x:v>1st Prize</x:v>
      </x:c>
      <x:c r="E20" s="36" t="str">
        <x:f>IF(Hackathons!R55="","",Hackathons!R55)</x:f>
      </x:c>
      <x:c r="F20" s="39" t="n">
        <x:f>IF(Hackathons!AH55="","",Hackathons!AH55)</x:f>
        <x:v>3</x:v>
      </x:c>
      <x:c r="G20" s="36" t="str">
        <x:f>IF(Hackathons!AI55="","",Hackathons!AI55)</x:f>
        <x:v>Per Team</x:v>
      </x:c>
      <x:c r="H20" s="40" t="str">
        <x:f>IF(Hackathons!S55="","",IF(G20="Per Team Member",Hackathons!S55*F20,Hackathons!S55))</x:f>
      </x:c>
      <x:c r="I20" s="36" t="str">
        <x:f>IF(Hackathons!T55="","",Hackathons!T55)</x:f>
      </x:c>
      <x:c r="J20" s="498" t="str">
        <x:f>IF(OR(H20="",F20=""),"",H20/F20)</x:f>
      </x:c>
      <x:c r="K20" s="40" t="n">
        <x:f>IF(Hackathons!U55="","",IF(G20="Per Team Member",Hackathons!U55*F20,Hackathons!U55))</x:f>
        <x:v>150</x:v>
      </x:c>
      <x:c r="L20" s="36" t="str">
        <x:f>IF(Hackathons!V55="","",Hackathons!V55)</x:f>
        <x:v>USD</x:v>
      </x:c>
      <x:c r="M20" s="498" t="n">
        <x:f>IF(OR(K20="",F20=""),"",K20/F20)</x:f>
        <x:v>50</x:v>
      </x:c>
      <x:c r="N20" s="39" t="str">
        <x:f>IF(Hackathons!W55="","",IF(G20="Per Team Member",Hackathons!W55*F20,Hackathons!W55))</x:f>
      </x:c>
      <x:c r="O20" s="40" t="str">
        <x:f>IF(Hackathons!X55="","",IF(G20="Per Team Member",Hackathons!X55*F20,Hackathons!X55))</x:f>
      </x:c>
      <x:c r="P20" s="36" t="str">
        <x:f>IF(Hackathons!Y55="","",Hackathons!Y55)</x:f>
      </x:c>
      <x:c r="Q20" s="498" t="str">
        <x:f>IF(OR(O20="",F20=""),"",O20/F20)</x:f>
      </x:c>
      <x:c r="R20" s="40" t="str">
        <x:f>IF(Hackathons!AC55="","",IF(G20="Per Team Member",Hackathons!AC55*F20,Hackathons!AC55))</x:f>
      </x:c>
      <x:c r="S20" s="36" t="str">
        <x:f>IF(Hackathons!AD55="","",Hackathons!AD55)</x:f>
      </x:c>
      <x:c r="T20" s="498" t="str">
        <x:f>IF(OR(R20="",F20="",F20=0),"",R20/F20)</x:f>
      </x:c>
      <x:c r="U20" s="36" t="str">
        <x:f>IF(Hackathons!Z55="","",Hackathons!Z55)</x:f>
        <x:v>Wavespeed AI credits</x:v>
      </x:c>
      <x:c r="V20" s="36" t="str">
        <x:f>IF(Hackathons!AA55="","",Hackathons!AA55)</x:f>
      </x:c>
      <x:c r="W20" s="39" t="str">
        <x:f>IF(Hackathons!AB55="","",Hackathons!AB55)</x:f>
      </x:c>
      <x:c r="X20" s="36" t="str">
        <x:f>IF(Hackathons!AE55="","",Hackathons!AE55)</x:f>
        <x:v>Exclude</x:v>
      </x:c>
      <x:c r="Y20" s="36" t="str">
        <x:f>IF(Hackathons!AF55="","",Hackathons!AF55)</x:f>
        <x:v>API credits, not cash</x:v>
      </x:c>
    </x:row>
    <x:row r="21">
      <x:c r="A21" s="36" t="n">
        <x:f>Hackathons!A58</x:f>
        <x:v>57</x:v>
      </x:c>
      <x:c r="B21" s="36" t="str">
        <x:f>Hackathons!B58</x:f>
        <x:v>Agora.io Voice AI Hackathon Singapore 2026</x:v>
      </x:c>
      <x:c r="C21" s="36" t="str">
        <x:f>Hackathons!AG58</x:f>
        <x:v>3rd Place — S$300 Cash + S$385 API Credits</x:v>
      </x:c>
      <x:c r="D21" s="36" t="str">
        <x:f>IF(Hackathons!Q58="","",Hackathons!Q58)</x:f>
        <x:v>3rd Prize</x:v>
      </x:c>
      <x:c r="E21" s="36" t="str">
        <x:f>IF(Hackathons!R58="","",Hackathons!R58)</x:f>
      </x:c>
      <x:c r="F21" s="39" t="n">
        <x:f>IF(Hackathons!AH58="","",Hackathons!AH58)</x:f>
        <x:v>1</x:v>
      </x:c>
      <x:c r="G21" s="36" t="str">
        <x:f>IF(Hackathons!AI58="","",Hackathons!AI58)</x:f>
        <x:v>Per Team</x:v>
      </x:c>
      <x:c r="H21" s="40" t="n">
        <x:f>IF(Hackathons!S58="","",IF(G21="Per Team Member",Hackathons!S58*F21,Hackathons!S58))</x:f>
        <x:v>300</x:v>
      </x:c>
      <x:c r="I21" s="36" t="str">
        <x:f>IF(Hackathons!T58="","",Hackathons!T58)</x:f>
        <x:v>SGD</x:v>
      </x:c>
      <x:c r="J21" s="498" t="n">
        <x:f>IF(OR(H21="",F21=""),"",H21/F21)</x:f>
        <x:v>300</x:v>
      </x:c>
      <x:c r="K21" s="40" t="n">
        <x:f>IF(Hackathons!U58="","",IF(G21="Per Team Member",Hackathons!U58*F21,Hackathons!U58))</x:f>
        <x:v>385</x:v>
      </x:c>
      <x:c r="L21" s="36" t="str">
        <x:f>IF(Hackathons!V58="","",Hackathons!V58)</x:f>
        <x:v>SGD</x:v>
      </x:c>
      <x:c r="M21" s="498" t="n">
        <x:f>IF(OR(K21="",F21=""),"",K21/F21)</x:f>
        <x:v>385</x:v>
      </x:c>
      <x:c r="N21" s="39" t="str">
        <x:f>IF(Hackathons!W58="","",IF(G21="Per Team Member",Hackathons!W58*F21,Hackathons!W58))</x:f>
      </x:c>
      <x:c r="O21" s="40" t="str">
        <x:f>IF(Hackathons!X58="","",IF(G21="Per Team Member",Hackathons!X58*F21,Hackathons!X58))</x:f>
      </x:c>
      <x:c r="P21" s="36" t="str">
        <x:f>IF(Hackathons!Y58="","",Hackathons!Y58)</x:f>
      </x:c>
      <x:c r="Q21" s="498" t="str">
        <x:f>IF(OR(O21="",F21=""),"",O21/F21)</x:f>
      </x:c>
      <x:c r="R21" s="40" t="str">
        <x:f>IF(Hackathons!AC58="","",IF(G21="Per Team Member",Hackathons!AC58*F21,Hackathons!AC58))</x:f>
      </x:c>
      <x:c r="S21" s="36" t="str">
        <x:f>IF(Hackathons!AD58="","",Hackathons!AD58)</x:f>
      </x:c>
      <x:c r="T21" s="498" t="str">
        <x:f>IF(OR(R21="",F21="",F21=0),"",R21/F21)</x:f>
      </x:c>
      <x:c r="U21" s="36" t="str">
        <x:f>IF(Hackathons!Z58="","",Hackathons!Z58)</x:f>
        <x:v>API credits</x:v>
      </x:c>
      <x:c r="V21" s="36" t="str">
        <x:f>IF(Hackathons!AA58="","",Hackathons!AA58)</x:f>
      </x:c>
      <x:c r="W21" s="39" t="str">
        <x:f>IF(Hackathons!AB58="","",Hackathons!AB58)</x:f>
      </x:c>
      <x:c r="X21" s="36" t="str">
        <x:f>IF(Hackathons!AE58="","",Hackathons!AE58)</x:f>
        <x:v>Yes</x:v>
      </x:c>
      <x:c r="Y21" s="36" t="str">
        <x:f>IF(Hackathons!AF58="","",Hackathons!AF58)</x:f>
        <x:v>Explicit cash; API credit value also tracked</x:v>
      </x:c>
    </x:row>
    <x:row r="22">
      <x:c r="A22" s="36" t="n">
        <x:f>Hackathons!A61</x:f>
        <x:v>60</x:v>
      </x:c>
      <x:c r="B22" s="36" t="str">
        <x:f>Hackathons!B61</x:f>
        <x:v>Build Voice Agents with Speechmatics | TGB Buildathon 2026</x:v>
      </x:c>
      <x:c r="C22" s="36" t="str">
        <x:f>Hackathons!AG61</x:f>
        <x:v>Award — Speechmatics — US$2,000 Speechmatics Credits</x:v>
      </x:c>
      <x:c r="D22" s="36" t="str">
        <x:f>IF(Hackathons!Q61="","",Hackathons!Q61)</x:f>
        <x:v>Award</x:v>
      </x:c>
      <x:c r="E22" s="36" t="str">
        <x:f>IF(Hackathons!R61="","",Hackathons!R61)</x:f>
        <x:v>Speechmatics</x:v>
      </x:c>
      <x:c r="F22" s="39" t="n">
        <x:f>IF(Hackathons!AH61="","",Hackathons!AH61)</x:f>
        <x:v>1</x:v>
      </x:c>
      <x:c r="G22" s="36" t="str">
        <x:f>IF(Hackathons!AI61="","",Hackathons!AI61)</x:f>
        <x:v>Per Team</x:v>
      </x:c>
      <x:c r="H22" s="40" t="str">
        <x:f>IF(Hackathons!S61="","",IF(G22="Per Team Member",Hackathons!S61*F22,Hackathons!S61))</x:f>
      </x:c>
      <x:c r="I22" s="36" t="str">
        <x:f>IF(Hackathons!T61="","",Hackathons!T61)</x:f>
      </x:c>
      <x:c r="J22" s="498" t="str">
        <x:f>IF(OR(H22="",F22=""),"",H22/F22)</x:f>
      </x:c>
      <x:c r="K22" s="40" t="n">
        <x:f>IF(Hackathons!U61="","",IF(G22="Per Team Member",Hackathons!U61*F22,Hackathons!U61))</x:f>
        <x:v>2000</x:v>
      </x:c>
      <x:c r="L22" s="36" t="str">
        <x:f>IF(Hackathons!V61="","",Hackathons!V61)</x:f>
        <x:v>USD</x:v>
      </x:c>
      <x:c r="M22" s="498" t="n">
        <x:f>IF(OR(K22="",F22=""),"",K22/F22)</x:f>
        <x:v>2000</x:v>
      </x:c>
      <x:c r="N22" s="39" t="str">
        <x:f>IF(Hackathons!W61="","",IF(G22="Per Team Member",Hackathons!W61*F22,Hackathons!W61))</x:f>
      </x:c>
      <x:c r="O22" s="40" t="str">
        <x:f>IF(Hackathons!X61="","",IF(G22="Per Team Member",Hackathons!X61*F22,Hackathons!X61))</x:f>
      </x:c>
      <x:c r="P22" s="36" t="str">
        <x:f>IF(Hackathons!Y61="","",Hackathons!Y61)</x:f>
      </x:c>
      <x:c r="Q22" s="498" t="str">
        <x:f>IF(OR(O22="",F22=""),"",O22/F22)</x:f>
      </x:c>
      <x:c r="R22" s="40" t="str">
        <x:f>IF(Hackathons!AC61="","",IF(G22="Per Team Member",Hackathons!AC61*F22,Hackathons!AC61))</x:f>
      </x:c>
      <x:c r="S22" s="36" t="str">
        <x:f>IF(Hackathons!AD61="","",Hackathons!AD61)</x:f>
      </x:c>
      <x:c r="T22" s="498" t="str">
        <x:f>IF(OR(R22="",F22="",F22=0),"",R22/F22)</x:f>
      </x:c>
      <x:c r="U22" s="36" t="str">
        <x:f>IF(Hackathons!Z61="","",Hackathons!Z61)</x:f>
        <x:v>Speechmatics credits</x:v>
      </x:c>
      <x:c r="V22" s="36" t="str">
        <x:f>IF(Hackathons!AA61="","",Hackathons!AA61)</x:f>
      </x:c>
      <x:c r="W22" s="39" t="str">
        <x:f>IF(Hackathons!AB61="","",Hackathons!AB61)</x:f>
      </x:c>
      <x:c r="X22" s="36" t="str">
        <x:f>IF(Hackathons!AE61="","",Hackathons!AE61)</x:f>
        <x:v>Exclude</x:v>
      </x:c>
      <x:c r="Y22" s="36" t="str">
        <x:f>IF(Hackathons!AF61="","",Hackathons!AF61)</x:f>
        <x:v>USD-denominated credit value</x:v>
      </x:c>
    </x:row>
    <x:row r="23">
      <x:c r="A23" s="36" t="n">
        <x:f>Hackathons!A62</x:f>
        <x:v>61</x:v>
      </x:c>
      <x:c r="B23" s="36" t="str">
        <x:f>Hackathons!B62</x:f>
        <x:v>Vercel Zero to Agent: Singapore (1 Hr Hackathon) 2026</x:v>
      </x:c>
      <x:c r="C23" s="36" t="str">
        <x:f>Hackathons!AG62</x:f>
        <x:v>2nd Place — v0 Sock</x:v>
      </x:c>
      <x:c r="D23" s="36" t="str">
        <x:f>IF(Hackathons!Q62="","",Hackathons!Q62)</x:f>
        <x:v>2nd Place</x:v>
      </x:c>
      <x:c r="E23" s="36" t="str">
        <x:f>IF(Hackathons!R62="","",Hackathons!R62)</x:f>
        <x:v>v0 Sock</x:v>
      </x:c>
      <x:c r="F23" s="39" t="n">
        <x:f>IF(Hackathons!AH62="","",Hackathons!AH62)</x:f>
        <x:v>1</x:v>
      </x:c>
      <x:c r="G23" s="36" t="str">
        <x:f>IF(Hackathons!AI62="","",Hackathons!AI62)</x:f>
        <x:v>Per Team</x:v>
      </x:c>
      <x:c r="H23" s="40" t="str">
        <x:f>IF(Hackathons!S62="","",IF(G23="Per Team Member",Hackathons!S62*F23,Hackathons!S62))</x:f>
      </x:c>
      <x:c r="I23" s="36" t="str">
        <x:f>IF(Hackathons!T62="","",Hackathons!T62)</x:f>
      </x:c>
      <x:c r="J23" s="498" t="str">
        <x:f>IF(OR(H23="",F23=""),"",H23/F23)</x:f>
      </x:c>
      <x:c r="K23" s="40" t="str">
        <x:f>IF(Hackathons!U62="","",IF(G23="Per Team Member",Hackathons!U62*F23,Hackathons!U62))</x:f>
      </x:c>
      <x:c r="L23" s="36" t="str">
        <x:f>IF(Hackathons!V62="","",Hackathons!V62)</x:f>
      </x:c>
      <x:c r="M23" s="498" t="str">
        <x:f>IF(OR(K23="",F23=""),"",K23/F23)</x:f>
      </x:c>
      <x:c r="N23" s="39" t="str">
        <x:f>IF(Hackathons!W62="","",IF(G23="Per Team Member",Hackathons!W62*F23,Hackathons!W62))</x:f>
      </x:c>
      <x:c r="O23" s="40" t="str">
        <x:f>IF(Hackathons!X62="","",IF(G23="Per Team Member",Hackathons!X62*F23,Hackathons!X62))</x:f>
      </x:c>
      <x:c r="P23" s="36" t="str">
        <x:f>IF(Hackathons!Y62="","",Hackathons!Y62)</x:f>
      </x:c>
      <x:c r="Q23" s="498" t="str">
        <x:f>IF(OR(O23="",F23=""),"",O23/F23)</x:f>
      </x:c>
      <x:c r="R23" s="40" t="str">
        <x:f>IF(Hackathons!AC62="","",IF(G23="Per Team Member",Hackathons!AC62*F23,Hackathons!AC62))</x:f>
      </x:c>
      <x:c r="S23" s="36" t="str">
        <x:f>IF(Hackathons!AD62="","",Hackathons!AD62)</x:f>
      </x:c>
      <x:c r="T23" s="498" t="str">
        <x:f>IF(OR(R23="",F23="",F23=0),"",R23/F23)</x:f>
      </x:c>
      <x:c r="U23" s="36" t="str">
        <x:f>IF(Hackathons!Z62="","",Hackathons!Z62)</x:f>
        <x:v>v0 Sock</x:v>
      </x:c>
      <x:c r="V23" s="36" t="str">
        <x:f>IF(Hackathons!AA62="","",Hackathons!AA62)</x:f>
        <x:v>v0 Sock</x:v>
      </x:c>
      <x:c r="W23" s="39" t="str">
        <x:f>IF(Hackathons!AB62="","",Hackathons!AB62)</x:f>
      </x:c>
      <x:c r="X23" s="36" t="str">
        <x:f>IF(Hackathons!AE62="","",Hackathons!AE62)</x:f>
        <x:v>Exclude</x:v>
      </x:c>
      <x:c r="Y23" s="36" t="str">
        <x:f>IF(Hackathons!AF62="","",Hackathons!AF62)</x:f>
        <x:v>Physical item, not cash</x:v>
      </x:c>
    </x:row>
    <x:row r="24">
      <x:c r="A24" s="36" t="n">
        <x:f>Hackathons!A67</x:f>
        <x:v>66</x:v>
      </x:c>
      <x:c r="B24" s="36" t="str">
        <x:f>Hackathons!B67</x:f>
        <x:v>UCWS 2026 (Semi-Finals)</x:v>
      </x:c>
      <x:c r="C24" s="36" t="str">
        <x:f>Hackathons!AG67</x:f>
        <x:v>Top 20 — US$12,000 Credits (OpenAI + Gemini Cloud)</x:v>
      </x:c>
      <x:c r="D24" s="36" t="str">
        <x:f>IF(Hackathons!Q67="","",Hackathons!Q67)</x:f>
        <x:v>Top 20</x:v>
      </x:c>
      <x:c r="E24" s="36" t="str">
        <x:f>IF(Hackathons!R67="","",Hackathons!R67)</x:f>
      </x:c>
      <x:c r="F24" s="39" t="n">
        <x:f>IF(Hackathons!AH67="","",Hackathons!AH67)</x:f>
        <x:v>2</x:v>
      </x:c>
      <x:c r="G24" s="36" t="str">
        <x:f>IF(Hackathons!AI67="","",Hackathons!AI67)</x:f>
        <x:v>Per Team</x:v>
      </x:c>
      <x:c r="H24" s="40" t="str">
        <x:f>IF(Hackathons!S67="","",IF(G24="Per Team Member",Hackathons!S67*F24,Hackathons!S67))</x:f>
      </x:c>
      <x:c r="I24" s="36" t="str">
        <x:f>IF(Hackathons!T67="","",Hackathons!T67)</x:f>
      </x:c>
      <x:c r="J24" s="498" t="str">
        <x:f>IF(OR(H24="",F24=""),"",H24/F24)</x:f>
      </x:c>
      <x:c r="K24" s="40" t="n">
        <x:f>IF(Hackathons!U67="","",IF(G24="Per Team Member",Hackathons!U67*F24,Hackathons!U67))</x:f>
        <x:v>12000</x:v>
      </x:c>
      <x:c r="L24" s="36" t="str">
        <x:f>IF(Hackathons!V67="","",Hackathons!V67)</x:f>
        <x:v>USD</x:v>
      </x:c>
      <x:c r="M24" s="498" t="n">
        <x:f>IF(OR(K24="",F24=""),"",K24/F24)</x:f>
        <x:v>6000</x:v>
      </x:c>
      <x:c r="N24" s="39" t="str">
        <x:f>IF(Hackathons!W67="","",IF(G24="Per Team Member",Hackathons!W67*F24,Hackathons!W67))</x:f>
      </x:c>
      <x:c r="O24" s="40" t="str">
        <x:f>IF(Hackathons!X67="","",IF(G24="Per Team Member",Hackathons!X67*F24,Hackathons!X67))</x:f>
      </x:c>
      <x:c r="P24" s="36" t="str">
        <x:f>IF(Hackathons!Y67="","",Hackathons!Y67)</x:f>
      </x:c>
      <x:c r="Q24" s="498" t="str">
        <x:f>IF(OR(O24="",F24=""),"",O24/F24)</x:f>
      </x:c>
      <x:c r="R24" s="40" t="str">
        <x:f>IF(Hackathons!AC67="","",IF(G24="Per Team Member",Hackathons!AC67*F24,Hackathons!AC67))</x:f>
      </x:c>
      <x:c r="S24" s="36" t="str">
        <x:f>IF(Hackathons!AD67="","",Hackathons!AD67)</x:f>
      </x:c>
      <x:c r="T24" s="498" t="str">
        <x:f>IF(OR(R24="",F24="",F24=0),"",R24/F24)</x:f>
      </x:c>
      <x:c r="U24" s="36" t="str">
        <x:f>IF(Hackathons!Z67="","",Hackathons!Z67)</x:f>
        <x:v>10K OpenAI credits; 2K Gemini Cloud credits</x:v>
      </x:c>
      <x:c r="V24" s="36" t="str">
        <x:f>IF(Hackathons!AA67="","",Hackathons!AA67)</x:f>
      </x:c>
      <x:c r="W24" s="39" t="str">
        <x:f>IF(Hackathons!AB67="","",Hackathons!AB67)</x:f>
      </x:c>
      <x:c r="X24" s="36" t="str">
        <x:f>IF(Hackathons!AE67="","",Hackathons!AE67)</x:f>
        <x:v>Exclude</x:v>
      </x:c>
      <x:c r="Y24" s="36" t="str">
        <x:f>IF(Hackathons!AF67="","",Hackathons!AF67)</x:f>
        <x:v>Credit value total combines two USD-denominated credits</x:v>
      </x:c>
    </x:row>
    <x:row r="25">
      <x:c r="A25" s="36" t="n">
        <x:f>Hackathons!A72</x:f>
        <x:v>71</x:v>
      </x:c>
      <x:c r="B25" s="36" t="str">
        <x:f>Hackathons!B72</x:f>
        <x:v>BUIDL_OPC_Hackathon_SG</x:v>
      </x:c>
      <x:c r="C25" s="36" t="str">
        <x:f>Hackathons!AG72</x:f>
        <x:v>Top 30 — US$4,500 AWS Credits</x:v>
      </x:c>
      <x:c r="D25" s="36" t="str">
        <x:f>IF(Hackathons!Q72="","",Hackathons!Q72)</x:f>
        <x:v>Top 30</x:v>
      </x:c>
      <x:c r="E25" s="36" t="str">
        <x:f>IF(Hackathons!R72="","",Hackathons!R72)</x:f>
      </x:c>
      <x:c r="F25" s="39" t="n">
        <x:f>IF(Hackathons!AH72="","",Hackathons!AH72)</x:f>
        <x:v>2</x:v>
      </x:c>
      <x:c r="G25" s="36" t="str">
        <x:f>IF(Hackathons!AI72="","",Hackathons!AI72)</x:f>
        <x:v>Per Team</x:v>
      </x:c>
      <x:c r="H25" s="40" t="str">
        <x:f>IF(Hackathons!S72="","",IF(G25="Per Team Member",Hackathons!S72*F25,Hackathons!S72))</x:f>
      </x:c>
      <x:c r="I25" s="36" t="str">
        <x:f>IF(Hackathons!T72="","",Hackathons!T72)</x:f>
      </x:c>
      <x:c r="J25" s="498" t="str">
        <x:f>IF(OR(H25="",F25=""),"",H25/F25)</x:f>
      </x:c>
      <x:c r="K25" s="40" t="n">
        <x:f>IF(Hackathons!U72="","",IF(G25="Per Team Member",Hackathons!U72*F25,Hackathons!U72))</x:f>
        <x:v>4500</x:v>
      </x:c>
      <x:c r="L25" s="36" t="str">
        <x:f>IF(Hackathons!V72="","",Hackathons!V72)</x:f>
        <x:v>USD</x:v>
      </x:c>
      <x:c r="M25" s="498" t="n">
        <x:f>IF(OR(K25="",F25=""),"",K25/F25)</x:f>
        <x:v>2250</x:v>
      </x:c>
      <x:c r="N25" s="39" t="str">
        <x:f>IF(Hackathons!W72="","",IF(G25="Per Team Member",Hackathons!W72*F25,Hackathons!W72))</x:f>
      </x:c>
      <x:c r="O25" s="40" t="str">
        <x:f>IF(Hackathons!X72="","",IF(G25="Per Team Member",Hackathons!X72*F25,Hackathons!X72))</x:f>
      </x:c>
      <x:c r="P25" s="36" t="str">
        <x:f>IF(Hackathons!Y72="","",Hackathons!Y72)</x:f>
      </x:c>
      <x:c r="Q25" s="498" t="str">
        <x:f>IF(OR(O25="",F25=""),"",O25/F25)</x:f>
      </x:c>
      <x:c r="R25" s="40" t="str">
        <x:f>IF(Hackathons!AC72="","",IF(G25="Per Team Member",Hackathons!AC72*F25,Hackathons!AC72))</x:f>
      </x:c>
      <x:c r="S25" s="36" t="str">
        <x:f>IF(Hackathons!AD72="","",Hackathons!AD72)</x:f>
      </x:c>
      <x:c r="T25" s="498" t="str">
        <x:f>IF(OR(R25="",F25="",F25=0),"",R25/F25)</x:f>
      </x:c>
      <x:c r="U25" s="36" t="str">
        <x:f>IF(Hackathons!Z72="","",Hackathons!Z72)</x:f>
        <x:v>AWS credits</x:v>
      </x:c>
      <x:c r="V25" s="36" t="str">
        <x:f>IF(Hackathons!AA72="","",Hackathons!AA72)</x:f>
      </x:c>
      <x:c r="W25" s="39" t="str">
        <x:f>IF(Hackathons!AB72="","",Hackathons!AB72)</x:f>
      </x:c>
      <x:c r="X25" s="36" t="str">
        <x:f>IF(Hackathons!AE72="","",Hackathons!AE72)</x:f>
        <x:v>Exclude</x:v>
      </x:c>
      <x:c r="Y25" s="36" t="str">
        <x:f>IF(Hackathons!AF72="","",Hackathons!AF72)</x:f>
        <x:v>USD-denominated credit value</x:v>
      </x:c>
    </x:row>
    <x:row r="26">
      <x:c r="A26" s="36" t="n">
        <x:f>Hackathons!A76</x:f>
        <x:v>75</x:v>
      </x:c>
      <x:c r="B26" s="36" t="str">
        <x:f>Hackathons!B76</x:f>
        <x:v>One AI Hackathon 2026</x:v>
      </x:c>
      <x:c r="C26" s="36" t="str">
        <x:f>Hackathons!AG76</x:f>
        <x:v>Best Project — Best Vertical Solution: Family Office Track — 2,000 Cybrdeck API Credits Each (US$25 value)</x:v>
      </x:c>
      <x:c r="D26" s="36" t="str">
        <x:f>IF(Hackathons!Q76="","",Hackathons!Q76)</x:f>
        <x:v>Best Project</x:v>
      </x:c>
      <x:c r="E26" s="36" t="str">
        <x:f>IF(Hackathons!R76="","",Hackathons!R76)</x:f>
        <x:v>Best Vertical Solution: Family Office Track</x:v>
      </x:c>
      <x:c r="F26" s="39" t="n">
        <x:f>IF(Hackathons!AH76="","",Hackathons!AH76)</x:f>
        <x:v>2</x:v>
      </x:c>
      <x:c r="G26" s="36" t="str">
        <x:f>IF(Hackathons!AI76="","",Hackathons!AI76)</x:f>
        <x:v>Per Team Member</x:v>
      </x:c>
      <x:c r="H26" s="40" t="str">
        <x:f>IF(Hackathons!S76="","",IF(G26="Per Team Member",Hackathons!S76*F26,Hackathons!S76))</x:f>
      </x:c>
      <x:c r="I26" s="36" t="str">
        <x:f>IF(Hackathons!T76="","",Hackathons!T76)</x:f>
      </x:c>
      <x:c r="J26" s="498" t="str">
        <x:f>IF(OR(H26="",F26=""),"",H26/F26)</x:f>
      </x:c>
      <x:c r="K26" s="40" t="n">
        <x:f>IF(Hackathons!U76="","",IF(G26="Per Team Member",Hackathons!U76*F26,Hackathons!U76))</x:f>
        <x:v>50</x:v>
      </x:c>
      <x:c r="L26" s="36" t="str">
        <x:f>IF(Hackathons!V76="","",Hackathons!V76)</x:f>
        <x:v>USD</x:v>
      </x:c>
      <x:c r="M26" s="498" t="n">
        <x:f>IF(OR(K26="",F26=""),"",K26/F26)</x:f>
        <x:v>25</x:v>
      </x:c>
      <x:c r="N26" s="39" t="str">
        <x:f>IF(Hackathons!W76="","",IF(G26="Per Team Member",Hackathons!W76*F26,Hackathons!W76))</x:f>
      </x:c>
      <x:c r="O26" s="40" t="str">
        <x:f>IF(Hackathons!X76="","",IF(G26="Per Team Member",Hackathons!X76*F26,Hackathons!X76))</x:f>
      </x:c>
      <x:c r="P26" s="36" t="str">
        <x:f>IF(Hackathons!Y76="","",Hackathons!Y76)</x:f>
      </x:c>
      <x:c r="Q26" s="498" t="str">
        <x:f>IF(OR(O26="",F26=""),"",O26/F26)</x:f>
      </x:c>
      <x:c r="R26" s="40" t="str">
        <x:f>IF(Hackathons!AC76="","",IF(G26="Per Team Member",Hackathons!AC76*F26,Hackathons!AC76))</x:f>
      </x:c>
      <x:c r="S26" s="36" t="str">
        <x:f>IF(Hackathons!AD76="","",Hackathons!AD76)</x:f>
      </x:c>
      <x:c r="T26" s="498" t="str">
        <x:f>IF(OR(R26="",F26="",F26=0),"",R26/F26)</x:f>
      </x:c>
      <x:c r="U26" s="36" t="str">
        <x:f>IF(Hackathons!Z76="","",Hackathons!Z76)</x:f>
        <x:v>2,000 Cybrdeck API credits</x:v>
      </x:c>
      <x:c r="V26" s="36" t="str">
        <x:f>IF(Hackathons!AA76="","",Hackathons!AA76)</x:f>
      </x:c>
      <x:c r="W26" s="39" t="str">
        <x:f>IF(Hackathons!AB76="","",Hackathons!AB76)</x:f>
      </x:c>
      <x:c r="X26" s="36" t="str">
        <x:f>IF(Hackathons!AE76="","",Hackathons!AE76)</x:f>
        <x:v>Exclude</x:v>
      </x:c>
      <x:c r="Y26" s="36" t="str">
        <x:f>IF(Hackathons!AF76="","",Hackathons!AF76)</x:f>
        <x:v>US$25 credit value, not cash</x:v>
      </x:c>
    </x:row>
    <x:row r="27">
      <x:c r="A27" s="36" t="n">
        <x:f>Hackathons!A80</x:f>
        <x:v>79</x:v>
      </x:c>
      <x:c r="B27" s="36" t="str">
        <x:f>Hackathons!B80</x:f>
        <x:v>SG × SWK Friendship AI Business Design Hackathon</x:v>
      </x:c>
      <x:c r="C27" s="36" t="str">
        <x:f>Hackathons!AG80</x:f>
        <x:v>First Runner-Up — SG × Sarawak AI &amp; Design Hackathon — US$200 Kimi AI Credits + Trophy</x:v>
      </x:c>
      <x:c r="D27" s="36" t="str">
        <x:f>IF(Hackathons!Q80="","",Hackathons!Q80)</x:f>
        <x:v>First Runner-Up</x:v>
      </x:c>
      <x:c r="E27" s="36" t="str">
        <x:f>IF(Hackathons!R80="","",Hackathons!R80)</x:f>
        <x:v>SG × Sarawak AI &amp; Design Hackathon 2026</x:v>
      </x:c>
      <x:c r="F27" s="39" t="n">
        <x:f>IF(Hackathons!AH80="","",Hackathons!AH80)</x:f>
        <x:v>3</x:v>
      </x:c>
      <x:c r="G27" s="36" t="str">
        <x:f>IF(Hackathons!AI80="","",Hackathons!AI80)</x:f>
        <x:v>Per Team</x:v>
      </x:c>
      <x:c r="H27" s="40" t="str">
        <x:f>IF(Hackathons!S80="","",IF(G27="Per Team Member",Hackathons!S80*F27,Hackathons!S80))</x:f>
      </x:c>
      <x:c r="I27" s="36" t="str">
        <x:f>IF(Hackathons!T80="","",Hackathons!T80)</x:f>
      </x:c>
      <x:c r="J27" s="498" t="str">
        <x:f>IF(OR(H27="",F27=""),"",H27/F27)</x:f>
      </x:c>
      <x:c r="K27" s="40" t="n">
        <x:f>IF(Hackathons!U80="","",IF(G27="Per Team Member",Hackathons!U80*F27,Hackathons!U80))</x:f>
        <x:v>200</x:v>
      </x:c>
      <x:c r="L27" s="36" t="str">
        <x:f>IF(Hackathons!V80="","",Hackathons!V80)</x:f>
        <x:v>USD</x:v>
      </x:c>
      <x:c r="M27" s="498" t="n">
        <x:f>IF(OR(K27="",F27=""),"",K27/F27)</x:f>
        <x:v>66.66666666666667</x:v>
      </x:c>
      <x:c r="N27" s="39" t="str">
        <x:f>IF(Hackathons!W80="","",IF(G27="Per Team Member",Hackathons!W80*F27,Hackathons!W80))</x:f>
      </x:c>
      <x:c r="O27" s="40" t="str">
        <x:f>IF(Hackathons!X80="","",IF(G27="Per Team Member",Hackathons!X80*F27,Hackathons!X80))</x:f>
      </x:c>
      <x:c r="P27" s="36" t="str">
        <x:f>IF(Hackathons!Y80="","",Hackathons!Y80)</x:f>
      </x:c>
      <x:c r="Q27" s="498" t="str">
        <x:f>IF(OR(O27="",F27=""),"",O27/F27)</x:f>
      </x:c>
      <x:c r="R27" s="40" t="str">
        <x:f>IF(Hackathons!AC80="","",IF(G27="Per Team Member",Hackathons!AC80*F27,Hackathons!AC80))</x:f>
      </x:c>
      <x:c r="S27" s="36" t="str">
        <x:f>IF(Hackathons!AD80="","",Hackathons!AD80)</x:f>
      </x:c>
      <x:c r="T27" s="498" t="str">
        <x:f>IF(OR(R27="",F27="",F27=0),"",R27/F27)</x:f>
      </x:c>
      <x:c r="U27" s="36" t="str">
        <x:f>IF(Hackathons!Z80="","",Hackathons!Z80)</x:f>
        <x:v>Trophy; Kimi AI credits</x:v>
      </x:c>
      <x:c r="V27" s="36" t="str">
        <x:f>IF(Hackathons!AA80="","",Hackathons!AA80)</x:f>
        <x:v>Trophy</x:v>
      </x:c>
      <x:c r="W27" s="39" t="n">
        <x:f>IF(Hackathons!AB80="","",Hackathons!AB80)</x:f>
        <x:v>1</x:v>
      </x:c>
      <x:c r="X27" s="36" t="str">
        <x:f>IF(Hackathons!AE80="","",Hackathons!AE80)</x:f>
        <x:v>Exclude</x:v>
      </x:c>
      <x:c r="Y27" s="36" t="str">
        <x:f>IF(Hackathons!AF80="","",Hackathons!AF80)</x:f>
        <x:v>Trophy excluded; credit value tracked</x:v>
      </x:c>
    </x:row>
    <x:row r="28">
      <x:c r="A28" s="36" t="n">
        <x:f>Hackathons!A81</x:f>
        <x:v>80</x:v>
      </x:c>
      <x:c r="B28" s="36" t="str">
        <x:f>Hackathons!B81</x:f>
        <x:v>GPT-6 Astra Hackathon: Singapore</x:v>
      </x:c>
      <x:c r="C28" s="36" t="str">
        <x:f>Hackathons!AG81</x:f>
        <x:v>Best Project — Best Use of GPT-Image-2.5 — US$5,000 OpenAI Credits Each</x:v>
      </x:c>
      <x:c r="D28" s="36" t="str">
        <x:f>IF(Hackathons!Q81="","",Hackathons!Q81)</x:f>
        <x:v>Best Project</x:v>
      </x:c>
      <x:c r="E28" s="36" t="str">
        <x:f>IF(Hackathons!R81="","",Hackathons!R81)</x:f>
        <x:v>Best Use of GPT-Image-2.5</x:v>
      </x:c>
      <x:c r="F28" s="39" t="n">
        <x:f>IF(Hackathons!AH81="","",Hackathons!AH81)</x:f>
        <x:v>2</x:v>
      </x:c>
      <x:c r="G28" s="36" t="str">
        <x:f>IF(Hackathons!AI81="","",Hackathons!AI81)</x:f>
        <x:v>Per Team Member</x:v>
      </x:c>
      <x:c r="H28" s="40" t="str">
        <x:f>IF(Hackathons!S81="","",IF(G28="Per Team Member",Hackathons!S81*F28,Hackathons!S81))</x:f>
      </x:c>
      <x:c r="I28" s="36" t="str">
        <x:f>IF(Hackathons!T81="","",Hackathons!T81)</x:f>
      </x:c>
      <x:c r="J28" s="498" t="str">
        <x:f>IF(OR(H28="",F28=""),"",H28/F28)</x:f>
      </x:c>
      <x:c r="K28" s="40" t="n">
        <x:f>IF(Hackathons!U81="","",IF(G28="Per Team Member",Hackathons!U81*F28,Hackathons!U81))</x:f>
        <x:v>10000</x:v>
      </x:c>
      <x:c r="L28" s="36" t="str">
        <x:f>IF(Hackathons!V81="","",Hackathons!V81)</x:f>
        <x:v>USD</x:v>
      </x:c>
      <x:c r="M28" s="498" t="n">
        <x:f>IF(OR(K28="",F28=""),"",K28/F28)</x:f>
        <x:v>5000</x:v>
      </x:c>
      <x:c r="N28" s="39" t="str">
        <x:f>IF(Hackathons!W81="","",IF(G28="Per Team Member",Hackathons!W81*F28,Hackathons!W81))</x:f>
      </x:c>
      <x:c r="O28" s="40" t="str">
        <x:f>IF(Hackathons!X81="","",IF(G28="Per Team Member",Hackathons!X81*F28,Hackathons!X81))</x:f>
      </x:c>
      <x:c r="P28" s="36" t="str">
        <x:f>IF(Hackathons!Y81="","",Hackathons!Y81)</x:f>
      </x:c>
      <x:c r="Q28" s="498" t="str">
        <x:f>IF(OR(O28="",F28=""),"",O28/F28)</x:f>
      </x:c>
      <x:c r="R28" s="40" t="str">
        <x:f>IF(Hackathons!AC81="","",IF(G28="Per Team Member",Hackathons!AC81*F28,Hackathons!AC81))</x:f>
      </x:c>
      <x:c r="S28" s="36" t="str">
        <x:f>IF(Hackathons!AD81="","",Hackathons!AD81)</x:f>
      </x:c>
      <x:c r="T28" s="498" t="str">
        <x:f>IF(OR(R28="",F28="",F28=0),"",R28/F28)</x:f>
      </x:c>
      <x:c r="U28" s="36" t="str">
        <x:f>IF(Hackathons!Z81="","",Hackathons!Z81)</x:f>
        <x:v>OpenAI credits</x:v>
      </x:c>
      <x:c r="V28" s="36" t="str">
        <x:f>IF(Hackathons!AA81="","",Hackathons!AA81)</x:f>
      </x:c>
      <x:c r="W28" s="39" t="str">
        <x:f>IF(Hackathons!AB81="","",Hackathons!AB81)</x:f>
      </x:c>
      <x:c r="X28" s="36" t="str">
        <x:f>IF(Hackathons!AE81="","",Hackathons!AE81)</x:f>
        <x:v>Exclude</x:v>
      </x:c>
      <x:c r="Y28" s="36" t="str">
        <x:f>IF(Hackathons!AF81="","",Hackathons!AF81)</x:f>
        <x:v>Credit value tracked</x:v>
      </x:c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</x:row>
  </x:sheetData>
  <x:mergeCells>
    <x:mergeCell ref="A3:C3"/>
    <x:mergeCell ref="D3:E3"/>
    <x:mergeCell ref="F3:H3"/>
    <x:mergeCell ref="I3:J3"/>
    <x:mergeCell ref="L3:N3"/>
    <x:mergeCell ref="O3:P3"/>
    <x:mergeCell ref="A1:Y1"/>
    <x:mergeCell ref="A2:Y2"/>
  </x:mergeCells>
  <x:pageMargins left="0.7" right="0.7" top="0.75" bottom="0.75" header="0.3" footer="0.3"/>
  <x:tableParts count="1">
    <x:tablePart xmlns:r="http://schemas.openxmlformats.org/officeDocument/2006/relationships" r:id="R1c5b9a36af9e4557"/>
  </x:tableParts>
</x:worksheet>
</file>