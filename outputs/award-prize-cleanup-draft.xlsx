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a127050cc4d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90199958291949d7"/>
    <x:sheet xmlns:r="http://schemas.openxmlformats.org/officeDocument/2006/relationships" name="Award breakdown" sheetId="2" r:id="R7a13f54c94d7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90cb6e0a574dcc" /><Relationship Type="http://schemas.openxmlformats.org/officeDocument/2006/relationships/theme" Target="/xl/theme/theme1.xml" Id="R4c6acea8428d46c7" /><Relationship Type="http://schemas.openxmlformats.org/officeDocument/2006/relationships/sharedStrings" Target="/xl/sharedStrings.xml" Id="Re037def8ebf24894" /><Relationship Type="http://schemas.openxmlformats.org/officeDocument/2006/relationships/worksheet" Target="/xl/worksheets/sheet1.xml" Id="R90199958291949d7" /><Relationship Type="http://schemas.openxmlformats.org/officeDocument/2006/relationships/worksheet" Target="/xl/worksheets/sheet2.xml" Id="R7a13f54c94d744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Cash-equivalent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Cash-equivalent prizes</x:v>
      </x:c>
      <x:c r="B6" s="10" t="str">
        <x:v>SGD</x:v>
      </x:c>
      <x:c r="C6" s="12" t="n">
        <x:f>SUMIFS('Award breakdown'!$F$6:$F$30,'Award breakdown'!$G$6:$G$30,$B6,'Award breakdown'!$R$6:$R$30,"Yes")</x:f>
        <x:v>1500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2750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Cash-equivalent prizes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 (USD)</x:v>
      </x:c>
      <x:c r="D16" s="9" t="str">
        <x:v>Basis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2" t="n">
        <x:f>SUMIFS('Award breakdown'!$K$6:$K$30,'Award breakdown'!$L$6:$L$30,"USD")</x:f>
        <x:v>39</x:v>
      </x:c>
      <x:c r="D17" s="10" t="str">
        <x:v>Monthly Manus Pro price at the June 2025 award period.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Cash-equivalent prize</x:v>
      </x:c>
      <x:c r="C26" s="18" t="str">
        <x:v>Count stated cash amounts and vouchers.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1st Place, Best Use of IBM Bluemix, US$100,000 IBM Bluemix Credits, SmartWatch</x:v>
      </x:c>
      <x:c r="D8" s="36" t="str">
        <x:v>1st Place</x:v>
      </x:c>
      <x:c r="E8" s="36" t="str">
        <x:v>Best Use of IBM Bluemix</x:v>
      </x:c>
      <x:c r="F8" s="32"/>
      <x:c r="G8" s="33"/>
      <x:c r="H8" s="37" t="n">
        <x:v>100000</x:v>
      </x:c>
      <x:c r="I8" s="38" t="str">
        <x:v>USD</x:v>
      </x:c>
      <x:c r="J8" s="38"/>
      <x:c r="K8" s="37"/>
      <x:c r="L8" s="38"/>
      <x:c r="M8" s="36" t="str">
        <x:v>IBM Bluemix credits; 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US$100,000 IBM Bluemix credit value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/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 t="n">
        <x:v>100</x:v>
      </x:c>
      <x:c r="G11" s="33" t="str">
        <x:v>SGD</x:v>
      </x:c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Yes</x:v>
      </x:c>
      <x:c r="S11" s="36" t="str">
        <x:v>Voucher counted as cash equivalent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 t="n">
        <x:v>39</x:v>
      </x:c>
      <x:c r="L16" s="38" t="str">
        <x:v>USD</x:v>
      </x:c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US$39 monthly value at award period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S$300 Cash and S$385 worth of API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API credits</x:v>
      </x:c>
      <x:c r="N23" s="36"/>
      <x:c r="O23" s="39"/>
      <x:c r="P23" s="40"/>
      <x:c r="Q23" s="36"/>
      <x:c r="R23" s="38" t="str">
        <x:v>Yes</x:v>
      </x:c>
      <x:c r="S23" s="36" t="str">
        <x:v>Explicit cash; API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USD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USD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