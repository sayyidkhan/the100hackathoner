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45b6dd0c6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ze summary" sheetId="1" r:id="Rddf982e5b9fe47a2"/>
    <x:sheet xmlns:r="http://schemas.openxmlformats.org/officeDocument/2006/relationships" name="Award breakdown" sheetId="2" r:id="Ra7536b45cd5b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8">
    <x:font>
      <x:sz val="11"/>
      <x:name val="Carlito"/>
    </x:font>
    <x:font>
      <x:sz val="10"/>
      <x:color rgb="FF1F2937"/>
      <x:name val="Aptos"/>
    </x:font>
    <x:font>
      <x:b/>
      <x:sz val="16"/>
      <x:color rgb="FF17324D"/>
      <x:name val="Aptos"/>
    </x:font>
    <x:font>
      <x:i/>
      <x:sz val="10"/>
      <x:color rgb="FF5B6573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b/>
      <x:sz val="10"/>
      <x:color rgb="FF1F2937"/>
      <x:name val="Aptos"/>
    </x:font>
    <x:font>
      <x:b/>
      <x:sz val="10"/>
      <x:color rgb="FF7A4A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AF5"/>
      </x:patternFill>
    </x:fill>
    <x:fill>
      <x:patternFill patternType="solid">
        <x:fgColor rgb="FFFBE8C8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E7C68E"/>
      </x:left>
      <x:right style="thin">
        <x:color rgb="FFE7C68E"/>
      </x:right>
      <x:top style="thin">
        <x:color rgb="FFE7C68E"/>
      </x:top>
      <x:bottom style="thin">
        <x:color rgb="FFE7C68E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1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/>
    <x:xf numFmtId="200" fontId="1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7A4A00"/>
      </x:font>
      <x:fill>
        <x:patternFill patternType="solid">
          <x:bgColor rgb="FFFBE8C8"/>
        </x:patternFill>
      </x:fill>
    </x:dxf>
    <x:dxf>
      <x:font>
        <x:b/>
        <x:color rgb="FF175C2D"/>
      </x:font>
      <x:fill>
        <x:patternFill patternType="solid">
          <x:bgColor rgb="FFE3F2E7"/>
        </x:patternFill>
      </x:fill>
    </x:dxf>
    <x:dxf>
      <x:font>
        <x:color rgb="FF5B6573"/>
      </x:font>
      <x:fill>
        <x:patternFill patternType="solid">
          <x:bgColor rgb="FFF1F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13adfb6754576" /><Relationship Type="http://schemas.openxmlformats.org/officeDocument/2006/relationships/theme" Target="/xl/theme/theme1.xml" Id="Rb2eb49f41aa346a6" /><Relationship Type="http://schemas.openxmlformats.org/officeDocument/2006/relationships/sharedStrings" Target="/xl/sharedStrings.xml" Id="R29166d791c624393" /><Relationship Type="http://schemas.openxmlformats.org/officeDocument/2006/relationships/worksheet" Target="/xl/worksheets/sheet1.xml" Id="Rddf982e5b9fe47a2" /><Relationship Type="http://schemas.openxmlformats.org/officeDocument/2006/relationships/worksheet" Target="/xl/worksheets/sheet2.xml" Id="Ra7536b45cd5b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22" hidden="0" customWidth="1"/>
    <x:col min="4" max="4" width="28" hidden="0" customWidth="1"/>
    <x:col min="5" max="5" width="14" hidden="0" customWidth="1"/>
    <x:col min="6" max="6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3" t="str">
        <x:v>Prize money cleanup draft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4" customHeight="1">
      <x:c r="A3" s="4" t="str">
        <x:v>A review workbook. Prize money totals include cash only and remain separated by currency.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9" t="str">
        <x:v>Cash prize totals</x:v>
      </x:c>
      <x:c r="B5" s="9" t="str">
        <x:v>Currency</x:v>
      </x:c>
      <x:c r="C5" s="9" t="str">
        <x:v>Confirmed</x:v>
      </x:c>
      <x:c r="D5" s="9" t="str">
        <x:v>Including pending review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Cash prize money</x:v>
      </x:c>
      <x:c r="B6" s="10" t="str">
        <x:v>SGD</x:v>
      </x:c>
      <x:c r="C6" s="12" t="n">
        <x:f>SUMIFS('Award breakdown'!$F$6:$F$30,'Award breakdown'!$G$6:$G$30,$B6,'Award breakdown'!$R$6:$R$30,"Yes")</x:f>
        <x:v>1400</x:v>
      </x:c>
      <x:c r="D6" s="12" t="n">
        <x:f>SUMIFS('Award breakdown'!$F$6:$F$30,'Award breakdown'!$G$6:$G$30,$B6,'Award breakdown'!$R$6:$R$30,"Yes")+SUMIFS('Award breakdown'!$F$6:$F$30,'Award breakdown'!$G$6:$G$30,$B6,'Award breakdown'!$R$6:$R$30,"Pending")</x:f>
        <x:v>2650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0" t="str">
        <x:v>Cash prize money</x:v>
      </x:c>
      <x:c r="B7" s="10" t="str">
        <x:v>USD</x:v>
      </x:c>
      <x:c r="C7" s="12" t="n">
        <x:f>SUMIFS('Award breakdown'!$F$6:$F$30,'Award breakdown'!$G$6:$G$30,$B7,'Award breakdown'!$R$6:$R$30,"Yes")</x:f>
        <x:v>0</x:v>
      </x:c>
      <x:c r="D7" s="12" t="n">
        <x:f>SUMIFS('Award breakdown'!$F$6:$F$30,'Award breakdown'!$G$6:$G$30,$B7,'Award breakdown'!$R$6:$R$30,"Yes")+SUMIFS('Award breakdown'!$F$6:$F$30,'Award breakdown'!$G$6:$G$30,$B7,'Award breakdown'!$R$6:$R$30,"Pending")</x:f>
        <x:v>25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" t="str">
        <x:v>Credit totals</x:v>
      </x:c>
      <x:c r="B10" s="9" t="str">
        <x:v>Currency / unit</x:v>
      </x:c>
      <x:c r="C10" s="9" t="str">
        <x:v>Total</x:v>
      </x:c>
      <x:c r="D10" s="9" t="str">
        <x:v>Treatment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0" t="str">
        <x:v>Credit value</x:v>
      </x:c>
      <x:c r="B11" s="10" t="str">
        <x:v>USD</x:v>
      </x:c>
      <x:c r="C11" s="12" t="n">
        <x:f>SUMIFS('Award breakdown'!$H$6:$H$30,'Award breakdown'!$I$6:$I$30,$B11)</x:f>
        <x:v>21850</x:v>
      </x:c>
      <x:c r="D11" s="10" t="str">
        <x:v>Monetary credit value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Credit value</x:v>
      </x:c>
      <x:c r="B12" s="10" t="str">
        <x:v>SGD</x:v>
      </x:c>
      <x:c r="C12" s="12" t="n">
        <x:f>SUMIFS('Award breakdown'!$H$6:$H$30,'Award breakdown'!$I$6:$I$30,$B12)</x:f>
        <x:v>385</x:v>
      </x:c>
      <x:c r="D12" s="10" t="str">
        <x:v>Monetary credit value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 t="str">
        <x:v>Provider credit units</x:v>
      </x:c>
      <x:c r="B13" s="10" t="str">
        <x:v>Units</x:v>
      </x:c>
      <x:c r="C13" s="12" t="n">
        <x:f>SUMIFS('Award breakdown'!$H$6:$H$30,'Award breakdown'!$I$6:$I$30,$B13)</x:f>
        <x:v>6500</x:v>
      </x:c>
      <x:c r="D13" s="10" t="str">
        <x:v>Not a cash equivalent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" t="str">
        <x:v>Subscription totals</x:v>
      </x:c>
      <x:c r="B16" s="9" t="str">
        <x:v>Count</x:v>
      </x:c>
      <x:c r="C16" s="9" t="str">
        <x:v>Known value</x:v>
      </x:c>
      <x:c r="D16" s="9" t="str">
        <x:v>Note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0" t="str">
        <x:v>Subscription awards</x:v>
      </x:c>
      <x:c r="B17" s="13" t="n">
        <x:f>SUM('Award breakdown'!$J$6:$J$30)</x:f>
        <x:v>1</x:v>
      </x:c>
      <x:c r="C17" s="10" t="str">
        <x:v>n.a.</x:v>
      </x:c>
      <x:c r="D17" s="10" t="str">
        <x:v>No subscription price is stated in the source.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9" t="str">
        <x:v>Physical collection totals</x:v>
      </x:c>
      <x:c r="B20" s="9" t="str">
        <x:v>Count</x:v>
      </x:c>
      <x:c r="C20" s="9" t="str">
        <x:v>Known value</x:v>
      </x:c>
      <x:c r="D20" s="9" t="str">
        <x:v>Treatment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0" t="str">
        <x:v>Other physical assets</x:v>
      </x:c>
      <x:c r="B21" s="13" t="n">
        <x:f>COUNTA('Award breakdown'!$N$6:$N$30)-SUM('Award breakdown'!$O$6:$O$30)</x:f>
        <x:v>2</x:v>
      </x:c>
      <x:c r="C21" s="10" t="str">
        <x:v>n.a.</x:v>
      </x:c>
      <x:c r="D21" s="10" t="str">
        <x:v>SmartWatch and v0 Sock; source values not stated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0" t="str">
        <x:v>Trophies</x:v>
      </x:c>
      <x:c r="B22" s="13" t="n">
        <x:f>SUM('Award breakdown'!$O$6:$O$30)</x:f>
        <x:v>2</x:v>
      </x:c>
      <x:c r="C22" s="10" t="str">
        <x:v>n.a.</x:v>
      </x:c>
      <x:c r="D22" s="10" t="str">
        <x:v>Tracked separately from other physical assets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5" t="str">
        <x:v>Proposed counting rules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6" t="str">
        <x:v>1</x:v>
      </x:c>
      <x:c r="B26" s="17" t="str">
        <x:v>Cash prize</x:v>
      </x:c>
      <x:c r="C26" s="18" t="str">
        <x:v>Count only stated cash amounts. Keep SGD and USD separate.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6" t="str">
        <x:v>2</x:v>
      </x:c>
      <x:c r="B27" s="17" t="str">
        <x:v>Pending cash</x:v>
      </x:c>
      <x:c r="C27" s="18" t="str">
        <x:v>Amounts without an explicit cash label need your confirmation before becoming confirmed totals.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6" t="str">
        <x:v>3</x:v>
      </x:c>
      <x:c r="B28" s="17" t="str">
        <x:v>Credit value</x:v>
      </x:c>
      <x:c r="C28" s="18" t="str">
        <x:v>Sum monetary credit values by their stated currency. Keep provider credit units separate.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6" t="str">
        <x:v>4</x:v>
      </x:c>
      <x:c r="B29" s="17" t="str">
        <x:v>Subscriptions</x:v>
      </x:c>
      <x:c r="C29" s="18" t="str">
        <x:v>Count every subscription. Leave its amount unavailable until a source price is supplied.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6" t="str">
        <x:v>5</x:v>
      </x:c>
      <x:c r="B30" s="17" t="str">
        <x:v>Physical assets</x:v>
      </x:c>
      <x:c r="C30" s="18" t="str">
        <x:v>Track physical assets and trophies separately. Do not add a value unless the source states one.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6" t="str">
        <x:v>6</x:v>
      </x:c>
      <x:c r="B31" s="17" t="str">
        <x:v>Funding</x:v>
      </x:c>
      <x:c r="C31" s="18" t="str">
        <x:v>Seed funding remains separate from prize money so the prize total stays comparable.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0" t="str">
        <x:v>Review focus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34" customHeight="1">
      <x:c r="A35" s="21" t="str">
        <x:v>#33, #35</x:v>
      </x:c>
      <x:c r="B35" s="22" t="str">
        <x:v>The amount is recorded, but the source does not explicitly say cash. Confirm whether each belongs in prize money.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34" customHeight="1">
      <x:c r="A36" s="21" t="str">
        <x:v>#75</x:v>
      </x:c>
      <x:c r="B36" s="22" t="str">
        <x:v>Confirm whether 25 USD was cash. Its 2,000 Cybrdeck credits remain non-cash.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2:F2"/>
    <x:mergeCell ref="A3:F3"/>
    <x:mergeCell ref="A25:F25"/>
    <x:mergeCell ref="A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31" hidden="0" customWidth="1"/>
    <x:col min="3" max="3" width="43" hidden="0" customWidth="1"/>
    <x:col min="4" max="4" width="22" hidden="0" customWidth="1"/>
    <x:col min="5" max="5" width="31" hidden="0" customWidth="1"/>
    <x:col min="6" max="6" width="14" hidden="0" customWidth="1"/>
    <x:col min="7" max="7" width="14" hidden="0" customWidth="1"/>
    <x:col min="8" max="8" width="15" hidden="0" customWidth="1"/>
    <x:col min="9" max="9" width="19" hidden="0" customWidth="1"/>
    <x:col min="10" max="10" width="17" hidden="0" customWidth="1"/>
    <x:col min="11" max="11" width="19" hidden="0" customWidth="1"/>
    <x:col min="12" max="12" width="21" hidden="0" customWidth="1"/>
    <x:col min="13" max="13" width="34" hidden="0" customWidth="1"/>
    <x:col min="14" max="14" width="25" hidden="0" customWidth="1"/>
    <x:col min="15" max="15" width="14" hidden="0" customWidth="1"/>
    <x:col min="16" max="16" width="15" hidden="0" customWidth="1"/>
    <x:col min="17" max="17" width="16" hidden="0" customWidth="1"/>
    <x:col min="18" max="18" width="20" hidden="0" customWidth="1"/>
    <x:col min="19" max="19" width="3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3" t="str">
        <x:v>Award and prize-money breakdown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4" customHeight="1">
      <x:c r="A3" s="4" t="str">
        <x:v>Original text is preserved. Change the cash amount, currency, or treatment after review; the summary formulas update automatically.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8" customHeight="1">
      <x:c r="A5" s="26" t="str">
        <x:v>#</x:v>
      </x:c>
      <x:c r="B5" s="26" t="str">
        <x:v>Hackathon</x:v>
      </x:c>
      <x:c r="C5" s="26" t="str">
        <x:v>Original award text</x:v>
      </x:c>
      <x:c r="D5" s="26" t="str">
        <x:v>Award type</x:v>
      </x:c>
      <x:c r="E5" s="26" t="str">
        <x:v>Additional info</x:v>
      </x:c>
      <x:c r="F5" s="26" t="str">
        <x:v>Cash amount</x:v>
      </x:c>
      <x:c r="G5" s="26" t="str">
        <x:v>Cash currency</x:v>
      </x:c>
      <x:c r="H5" s="26" t="str">
        <x:v>Credit amount</x:v>
      </x:c>
      <x:c r="I5" s="26" t="str">
        <x:v>Credit currency / units</x:v>
      </x:c>
      <x:c r="J5" s="26" t="str">
        <x:v>Subscription count</x:v>
      </x:c>
      <x:c r="K5" s="26" t="str">
        <x:v>Subscription amount</x:v>
      </x:c>
      <x:c r="L5" s="26" t="str">
        <x:v>Subscription currency</x:v>
      </x:c>
      <x:c r="M5" s="26" t="str">
        <x:v>Other non-cash prize</x:v>
      </x:c>
      <x:c r="N5" s="26" t="str">
        <x:v>Physical asset</x:v>
      </x:c>
      <x:c r="O5" s="26" t="str">
        <x:v>Trophy count</x:v>
      </x:c>
      <x:c r="P5" s="26" t="str">
        <x:v>Funding amount</x:v>
      </x:c>
      <x:c r="Q5" s="26" t="str">
        <x:v>Funding currency</x:v>
      </x:c>
      <x:c r="R5" s="26" t="str">
        <x:v>Cash total treatment</x:v>
      </x:c>
      <x:c r="S5" s="26" t="str">
        <x:v>Review note</x:v>
      </x:c>
      <x:c r="T5" s="1"/>
      <x:c r="U5" s="1"/>
      <x:c r="V5" s="1"/>
      <x:c r="W5" s="1"/>
      <x:c r="X5" s="1"/>
      <x:c r="Y5" s="1"/>
      <x:c r="Z5" s="1"/>
    </x:row>
    <x:row r="6" ht="34" customHeight="1">
      <x:c r="A6" s="30" t="n">
        <x:v>1</x:v>
      </x:c>
      <x:c r="B6" s="36" t="str">
        <x:v>Education Technology Hackathon</x:v>
      </x:c>
      <x:c r="C6" s="36" t="str">
        <x:v>First Place, 18k SGD seed Funding</x:v>
      </x:c>
      <x:c r="D6" s="36" t="str">
        <x:v>1st Place</x:v>
      </x:c>
      <x:c r="E6" s="36"/>
      <x:c r="F6" s="32"/>
      <x:c r="G6" s="33"/>
      <x:c r="H6" s="37"/>
      <x:c r="I6" s="38"/>
      <x:c r="J6" s="38"/>
      <x:c r="K6" s="37"/>
      <x:c r="L6" s="38"/>
      <x:c r="M6" s="36"/>
      <x:c r="N6" s="36"/>
      <x:c r="O6" s="39"/>
      <x:c r="P6" s="40" t="n">
        <x:v>18000</x:v>
      </x:c>
      <x:c r="Q6" s="36" t="str">
        <x:v>SGD</x:v>
      </x:c>
      <x:c r="R6" s="38" t="str">
        <x:v>Exclude</x:v>
      </x:c>
      <x:c r="S6" s="36" t="str">
        <x:v>Funding, not a cash prize</x:v>
      </x:c>
      <x:c r="T6" s="1"/>
      <x:c r="U6" s="1"/>
      <x:c r="V6" s="1"/>
      <x:c r="W6" s="1"/>
      <x:c r="X6" s="1"/>
      <x:c r="Y6" s="1"/>
      <x:c r="Z6" s="1"/>
    </x:row>
    <x:row r="7" ht="34" customHeight="1">
      <x:c r="A7" s="30" t="n">
        <x:v>3</x:v>
      </x:c>
      <x:c r="B7" s="36" t="str">
        <x:v>DataDriven Hackathon 2016</x:v>
      </x:c>
      <x:c r="C7" s="36" t="str">
        <x:v>*rated best project</x:v>
      </x:c>
      <x:c r="D7" s="36" t="str">
        <x:v>Best Project</x:v>
      </x:c>
      <x:c r="E7" s="36" t="str">
        <x:v>Rated best project</x:v>
      </x:c>
      <x:c r="F7" s="32"/>
      <x:c r="G7" s="33"/>
      <x:c r="H7" s="37"/>
      <x:c r="I7" s="38"/>
      <x:c r="J7" s="38"/>
      <x:c r="K7" s="37"/>
      <x:c r="L7" s="38"/>
      <x:c r="M7" s="36"/>
      <x:c r="N7" s="36"/>
      <x:c r="O7" s="39"/>
      <x:c r="P7" s="40"/>
      <x:c r="Q7" s="36"/>
      <x:c r="R7" s="38" t="str">
        <x:v>Exclude</x:v>
      </x:c>
      <x:c r="S7" s="36" t="str">
        <x:v>Recognition only</x:v>
      </x:c>
      <x:c r="T7" s="1"/>
      <x:c r="U7" s="1"/>
      <x:c r="V7" s="1"/>
      <x:c r="W7" s="1"/>
      <x:c r="X7" s="1"/>
      <x:c r="Y7" s="1"/>
      <x:c r="Z7" s="1"/>
    </x:row>
    <x:row r="8" ht="34" customHeight="1">
      <x:c r="A8" s="30" t="n">
        <x:v>4</x:v>
      </x:c>
      <x:c r="B8" s="36" t="str">
        <x:v>Fintech Festival Hackathon 2016</x:v>
      </x:c>
      <x:c r="C8" s="36" t="str">
        <x:v>Best Use of IBM Bluemix, SmartWatch</x:v>
      </x:c>
      <x:c r="D8" s="36" t="str">
        <x:v>1st Place</x:v>
      </x:c>
      <x:c r="E8" s="36" t="str">
        <x:v>Best Use of IBM Bluemix</x:v>
      </x:c>
      <x:c r="F8" s="32"/>
      <x:c r="G8" s="33"/>
      <x:c r="H8" s="37"/>
      <x:c r="I8" s="38"/>
      <x:c r="J8" s="38"/>
      <x:c r="K8" s="37"/>
      <x:c r="L8" s="38"/>
      <x:c r="M8" s="36" t="str">
        <x:v>SmartWatch</x:v>
      </x:c>
      <x:c r="N8" s="36" t="str">
        <x:v>SmartWatch</x:v>
      </x:c>
      <x:c r="O8" s="39" t="n">
        <x:v>0</x:v>
      </x:c>
      <x:c r="P8" s="40"/>
      <x:c r="Q8" s="36"/>
      <x:c r="R8" s="38" t="str">
        <x:v>Exclude</x:v>
      </x:c>
      <x:c r="S8" s="36" t="str">
        <x:v>Non-cash prize</x:v>
      </x:c>
      <x:c r="T8" s="1"/>
      <x:c r="U8" s="1"/>
      <x:c r="V8" s="1"/>
      <x:c r="W8" s="1"/>
      <x:c r="X8" s="1"/>
      <x:c r="Y8" s="1"/>
      <x:c r="Z8" s="1"/>
    </x:row>
    <x:row r="9" ht="34" customHeight="1">
      <x:c r="A9" s="30" t="n">
        <x:v>6</x:v>
      </x:c>
      <x:c r="B9" s="36" t="str">
        <x:v>SO.IMPACT Bootcamp 2017</x:v>
      </x:c>
      <x:c r="C9" s="36" t="str">
        <x:v>Shortlisted for top 10</x:v>
      </x:c>
      <x:c r="D9" s="36" t="str">
        <x:v>Top 10</x:v>
      </x:c>
      <x:c r="E9" s="36" t="str">
        <x:v>Shortlisted</x:v>
      </x:c>
      <x:c r="F9" s="32"/>
      <x:c r="G9" s="33"/>
      <x:c r="H9" s="37"/>
      <x:c r="I9" s="38"/>
      <x:c r="J9" s="38"/>
      <x:c r="K9" s="37"/>
      <x:c r="L9" s="38"/>
      <x:c r="M9" s="36"/>
      <x:c r="N9" s="36"/>
      <x:c r="O9" s="39"/>
      <x:c r="P9" s="40"/>
      <x:c r="Q9" s="36"/>
      <x:c r="R9" s="38" t="str">
        <x:v>Exclude</x:v>
      </x:c>
      <x:c r="S9" s="36" t="str">
        <x:v>Recognition only</x:v>
      </x:c>
      <x:c r="T9" s="1"/>
      <x:c r="U9" s="1"/>
      <x:c r="V9" s="1"/>
      <x:c r="W9" s="1"/>
      <x:c r="X9" s="1"/>
      <x:c r="Y9" s="1"/>
      <x:c r="Z9" s="1"/>
    </x:row>
    <x:row r="10" ht="34" customHeight="1">
      <x:c r="A10" s="30" t="n">
        <x:v>10</x:v>
      </x:c>
      <x:c r="B10" s="36" t="str">
        <x:v>DataDriven Hackathon 2017</x:v>
      </x:c>
      <x:c r="C10" s="36" t="str">
        <x:v>*rated best project</x:v>
      </x:c>
      <x:c r="D10" s="36" t="str">
        <x:v>Best Project</x:v>
      </x:c>
      <x:c r="E10" s="36" t="str">
        <x:v>Rated best project</x:v>
      </x:c>
      <x:c r="F10" s="32"/>
      <x:c r="G10" s="33"/>
      <x:c r="H10" s="37"/>
      <x:c r="I10" s="38"/>
      <x:c r="J10" s="38"/>
      <x:c r="K10" s="37"/>
      <x:c r="L10" s="38"/>
      <x:c r="M10" s="36"/>
      <x:c r="N10" s="36"/>
      <x:c r="O10" s="39"/>
      <x:c r="P10" s="40"/>
      <x:c r="Q10" s="36"/>
      <x:c r="R10" s="38" t="str">
        <x:v>Exclude</x:v>
      </x:c>
      <x:c r="S10" s="36" t="str">
        <x:v>Recognition only</x:v>
      </x:c>
      <x:c r="T10" s="1"/>
      <x:c r="U10" s="1"/>
      <x:c r="V10" s="1"/>
      <x:c r="W10" s="1"/>
      <x:c r="X10" s="1"/>
      <x:c r="Y10" s="1"/>
      <x:c r="Z10" s="1"/>
    </x:row>
    <x:row r="11" ht="34" customHeight="1">
      <x:c r="A11" s="30" t="n">
        <x:v>14</x:v>
      </x:c>
      <x:c r="B11" s="36" t="str">
        <x:v>#SPSEC SP Hackathon 2018</x:v>
      </x:c>
      <x:c r="C11" s="36" t="str">
        <x:v>3rd Place, $100 Capitaland voucher</x:v>
      </x:c>
      <x:c r="D11" s="36" t="str">
        <x:v>3rd Place</x:v>
      </x:c>
      <x:c r="E11" s="36"/>
      <x:c r="F11" s="32"/>
      <x:c r="G11" s="33"/>
      <x:c r="H11" s="37"/>
      <x:c r="I11" s="38"/>
      <x:c r="J11" s="38"/>
      <x:c r="K11" s="37"/>
      <x:c r="L11" s="38"/>
      <x:c r="M11" s="36" t="str">
        <x:v>S$100 Capitaland voucher</x:v>
      </x:c>
      <x:c r="N11" s="36"/>
      <x:c r="O11" s="39"/>
      <x:c r="P11" s="40"/>
      <x:c r="Q11" s="36"/>
      <x:c r="R11" s="38" t="str">
        <x:v>Exclude</x:v>
      </x:c>
      <x:c r="S11" s="36" t="str">
        <x:v>Voucher, not cash</x:v>
      </x:c>
      <x:c r="T11" s="1"/>
      <x:c r="U11" s="1"/>
      <x:c r="V11" s="1"/>
      <x:c r="W11" s="1"/>
      <x:c r="X11" s="1"/>
      <x:c r="Y11" s="1"/>
      <x:c r="Z11" s="1"/>
    </x:row>
    <x:row r="12" ht="34" customHeight="1">
      <x:c r="A12" s="30" t="n">
        <x:v>17</x:v>
      </x:c>
      <x:c r="B12" s="36" t="str">
        <x:v>#Mosque-Tech Challenge 2018</x:v>
      </x:c>
      <x:c r="C12" s="36" t="str">
        <x:v>2nd Place, $600 cash</x:v>
      </x:c>
      <x:c r="D12" s="36" t="str">
        <x:v>2nd Place</x:v>
      </x:c>
      <x:c r="E12" s="36"/>
      <x:c r="F12" s="32" t="n">
        <x:v>600</x:v>
      </x:c>
      <x:c r="G12" s="33" t="str">
        <x:v>SGD</x:v>
      </x:c>
      <x:c r="H12" s="37"/>
      <x:c r="I12" s="38"/>
      <x:c r="J12" s="38"/>
      <x:c r="K12" s="37"/>
      <x:c r="L12" s="38"/>
      <x:c r="M12" s="36"/>
      <x:c r="N12" s="36"/>
      <x:c r="O12" s="39"/>
      <x:c r="P12" s="40"/>
      <x:c r="Q12" s="36"/>
      <x:c r="R12" s="38" t="str">
        <x:v>Yes</x:v>
      </x:c>
      <x:c r="S12" s="36" t="str">
        <x:v>Explicit cash</x:v>
      </x:c>
      <x:c r="T12" s="1"/>
      <x:c r="U12" s="1"/>
      <x:c r="V12" s="1"/>
      <x:c r="W12" s="1"/>
      <x:c r="X12" s="1"/>
      <x:c r="Y12" s="1"/>
      <x:c r="Z12" s="1"/>
    </x:row>
    <x:row r="13" ht="34" customHeight="1">
      <x:c r="A13" s="30" t="n">
        <x:v>25</x:v>
      </x:c>
      <x:c r="B13" s="36" t="str">
        <x:v>#Mosque Hackathon 2019</x:v>
      </x:c>
      <x:c r="C13" s="36" t="str">
        <x:v>3rd Place, $500 SGD cash</x:v>
      </x:c>
      <x:c r="D13" s="36" t="str">
        <x:v>3rd Place</x:v>
      </x:c>
      <x:c r="E13" s="36"/>
      <x:c r="F13" s="32" t="n">
        <x:v>500</x:v>
      </x:c>
      <x:c r="G13" s="33" t="str">
        <x:v>SGD</x:v>
      </x:c>
      <x:c r="H13" s="37"/>
      <x:c r="I13" s="38"/>
      <x:c r="J13" s="38"/>
      <x:c r="K13" s="37"/>
      <x:c r="L13" s="38"/>
      <x:c r="M13" s="36"/>
      <x:c r="N13" s="36"/>
      <x:c r="O13" s="39"/>
      <x:c r="P13" s="40"/>
      <x:c r="Q13" s="36"/>
      <x:c r="R13" s="38" t="str">
        <x:v>Yes</x:v>
      </x:c>
      <x:c r="S13" s="36" t="str">
        <x:v>Explicit cash</x:v>
      </x:c>
      <x:c r="T13" s="1"/>
      <x:c r="U13" s="1"/>
      <x:c r="V13" s="1"/>
      <x:c r="W13" s="1"/>
      <x:c r="X13" s="1"/>
      <x:c r="Y13" s="1"/>
      <x:c r="Z13" s="1"/>
    </x:row>
    <x:row r="14" ht="34" customHeight="1">
      <x:c r="A14" s="30" t="n">
        <x:v>33</x:v>
      </x:c>
      <x:c r="B14" s="36" t="str">
        <x:v>ICP Ideathon 2023</x:v>
      </x:c>
      <x:c r="C14" s="36" t="str">
        <x:v>3rd Prize ($250 SGD)</x:v>
      </x:c>
      <x:c r="D14" s="36" t="str">
        <x:v>3rd Prize</x:v>
      </x:c>
      <x:c r="E14" s="36"/>
      <x:c r="F14" s="32" t="n">
        <x:v>250</x:v>
      </x:c>
      <x:c r="G14" s="33" t="str">
        <x:v>SGD</x:v>
      </x:c>
      <x:c r="H14" s="37"/>
      <x:c r="I14" s="38"/>
      <x:c r="J14" s="38"/>
      <x:c r="K14" s="37"/>
      <x:c r="L14" s="38"/>
      <x:c r="M14" s="36"/>
      <x:c r="N14" s="36"/>
      <x:c r="O14" s="39"/>
      <x:c r="P14" s="40"/>
      <x:c r="Q14" s="36"/>
      <x:c r="R14" s="38" t="str">
        <x:v>Pending</x:v>
      </x:c>
      <x:c r="S14" s="36" t="str">
        <x:v>Amount stated, but cash not explicit</x:v>
      </x:c>
      <x:c r="T14" s="1"/>
      <x:c r="U14" s="1"/>
      <x:c r="V14" s="1"/>
      <x:c r="W14" s="1"/>
      <x:c r="X14" s="1"/>
      <x:c r="Y14" s="1"/>
      <x:c r="Z14" s="1"/>
    </x:row>
    <x:row r="15" ht="34" customHeight="1">
      <x:c r="A15" s="30" t="n">
        <x:v>35</x:v>
      </x:c>
      <x:c r="B15" s="36" t="str">
        <x:v>Mosque Tech Challenge 2025</x:v>
      </x:c>
      <x:c r="C15" s="36" t="str">
        <x:v>2nd Prize ($1000 SGD)</x:v>
      </x:c>
      <x:c r="D15" s="36" t="str">
        <x:v>2nd Prize</x:v>
      </x:c>
      <x:c r="E15" s="36"/>
      <x:c r="F15" s="32" t="n">
        <x:v>1000</x:v>
      </x:c>
      <x:c r="G15" s="33" t="str">
        <x:v>SGD</x:v>
      </x:c>
      <x:c r="H15" s="37"/>
      <x:c r="I15" s="38"/>
      <x:c r="J15" s="38"/>
      <x:c r="K15" s="37"/>
      <x:c r="L15" s="38"/>
      <x:c r="M15" s="36"/>
      <x:c r="N15" s="36"/>
      <x:c r="O15" s="39"/>
      <x:c r="P15" s="40"/>
      <x:c r="Q15" s="36"/>
      <x:c r="R15" s="38" t="str">
        <x:v>Pending</x:v>
      </x:c>
      <x:c r="S15" s="36" t="str">
        <x:v>Amount stated, but cash not explicit</x:v>
      </x:c>
      <x:c r="T15" s="1"/>
      <x:c r="U15" s="1"/>
      <x:c r="V15" s="1"/>
      <x:c r="W15" s="1"/>
      <x:c r="X15" s="1"/>
      <x:c r="Y15" s="1"/>
      <x:c r="Z15" s="1"/>
    </x:row>
    <x:row r="16" ht="34" customHeight="1">
      <x:c r="A16" s="30" t="n">
        <x:v>38</x:v>
      </x:c>
      <x:c r="B16" s="36" t="str">
        <x:v>OOJU X Manus.AI Hackathon 2025</x:v>
      </x:c>
      <x:c r="C16" s="36" t="str">
        <x:v>2nd Prize (Manus Pro Subscription)</x:v>
      </x:c>
      <x:c r="D16" s="36" t="str">
        <x:v>2nd Prize</x:v>
      </x:c>
      <x:c r="E16" s="36"/>
      <x:c r="F16" s="32"/>
      <x:c r="G16" s="33"/>
      <x:c r="H16" s="37"/>
      <x:c r="I16" s="38"/>
      <x:c r="J16" s="38" t="n">
        <x:v>1</x:v>
      </x:c>
      <x:c r="K16" s="37"/>
      <x:c r="L16" s="38"/>
      <x:c r="M16" s="36" t="str">
        <x:v>Manus Pro subscription</x:v>
      </x:c>
      <x:c r="N16" s="36"/>
      <x:c r="O16" s="39"/>
      <x:c r="P16" s="40"/>
      <x:c r="Q16" s="36"/>
      <x:c r="R16" s="38" t="str">
        <x:v>Exclude</x:v>
      </x:c>
      <x:c r="S16" s="36" t="str">
        <x:v>Subscription value not stated in source</x:v>
      </x:c>
      <x:c r="T16" s="1"/>
      <x:c r="U16" s="1"/>
      <x:c r="V16" s="1"/>
      <x:c r="W16" s="1"/>
      <x:c r="X16" s="1"/>
      <x:c r="Y16" s="1"/>
      <x:c r="Z16" s="1"/>
    </x:row>
    <x:row r="17" ht="34" customHeight="1">
      <x:c r="A17" s="30" t="n">
        <x:v>40</x:v>
      </x:c>
      <x:c r="B17" s="36" t="str">
        <x:v>Sarawak AI Hackathon 2025</x:v>
      </x:c>
      <x:c r="C17" s="36" t="str">
        <x:v>Throphy, Best Novel Hackathon Finisher</x:v>
      </x:c>
      <x:c r="D17" s="36" t="str">
        <x:v>Best Finisher</x:v>
      </x:c>
      <x:c r="E17" s="36" t="str">
        <x:v>Novel Hackathon</x:v>
      </x:c>
      <x:c r="F17" s="32"/>
      <x:c r="G17" s="33"/>
      <x:c r="H17" s="37"/>
      <x:c r="I17" s="38"/>
      <x:c r="J17" s="38"/>
      <x:c r="K17" s="37"/>
      <x:c r="L17" s="38"/>
      <x:c r="M17" s="36" t="str">
        <x:v>Trophy</x:v>
      </x:c>
      <x:c r="N17" s="36" t="str">
        <x:v>Trophy</x:v>
      </x:c>
      <x:c r="O17" s="39" t="n">
        <x:v>1</x:v>
      </x:c>
      <x:c r="P17" s="40"/>
      <x:c r="Q17" s="36"/>
      <x:c r="R17" s="38" t="str">
        <x:v>Exclude</x:v>
      </x:c>
      <x:c r="S17" s="36" t="str">
        <x:v>Trophy, not cash</x:v>
      </x:c>
      <x:c r="T17" s="1"/>
      <x:c r="U17" s="1"/>
      <x:c r="V17" s="1"/>
      <x:c r="W17" s="1"/>
      <x:c r="X17" s="1"/>
      <x:c r="Y17" s="1"/>
      <x:c r="Z17" s="1"/>
    </x:row>
    <x:row r="18" ht="34" customHeight="1">
      <x:c r="A18" s="30" t="n">
        <x:v>42</x:v>
      </x:c>
      <x:c r="B18" s="36" t="str">
        <x:v>Nosana Hackathon 2025</x:v>
      </x:c>
      <x:c r="C18" s="36" t="str">
        <x:v>1st Prize, $500 Nosana Cloud Credit</x:v>
      </x:c>
      <x:c r="D18" s="36" t="str">
        <x:v>1st Prize</x:v>
      </x:c>
      <x:c r="E18" s="36"/>
      <x:c r="F18" s="32"/>
      <x:c r="G18" s="33"/>
      <x:c r="H18" s="37" t="n">
        <x:v>500</x:v>
      </x:c>
      <x:c r="I18" s="38" t="str">
        <x:v>USD</x:v>
      </x:c>
      <x:c r="J18" s="38"/>
      <x:c r="K18" s="37"/>
      <x:c r="L18" s="38"/>
      <x:c r="M18" s="36" t="str">
        <x:v>Nosana Cloud credit</x:v>
      </x:c>
      <x:c r="N18" s="36"/>
      <x:c r="O18" s="39"/>
      <x:c r="P18" s="40"/>
      <x:c r="Q18" s="36"/>
      <x:c r="R18" s="38" t="str">
        <x:v>Exclude</x:v>
      </x:c>
      <x:c r="S18" s="36" t="str">
        <x:v>Cloud credit, not cash</x:v>
      </x:c>
      <x:c r="T18" s="1"/>
      <x:c r="U18" s="1"/>
      <x:c r="V18" s="1"/>
      <x:c r="W18" s="1"/>
      <x:c r="X18" s="1"/>
      <x:c r="Y18" s="1"/>
      <x:c r="Z18" s="1"/>
    </x:row>
    <x:row r="19" ht="34" customHeight="1">
      <x:c r="A19" s="30" t="n">
        <x:v>50</x:v>
      </x:c>
      <x:c r="B19" s="36" t="str">
        <x:v>Agentfield Hackathon 2026</x:v>
      </x:c>
      <x:c r="C19" s="36" t="str">
        <x:v>1st Prize (OpenRouter Credits $1000 USD)</x:v>
      </x:c>
      <x:c r="D19" s="36" t="str">
        <x:v>1st Prize</x:v>
      </x:c>
      <x:c r="E19" s="36"/>
      <x:c r="F19" s="32"/>
      <x:c r="G19" s="33"/>
      <x:c r="H19" s="37" t="n">
        <x:v>1000</x:v>
      </x:c>
      <x:c r="I19" s="38" t="str">
        <x:v>USD</x:v>
      </x:c>
      <x:c r="J19" s="38"/>
      <x:c r="K19" s="37"/>
      <x:c r="L19" s="38"/>
      <x:c r="M19" s="36" t="str">
        <x:v>OpenRouter credits</x:v>
      </x:c>
      <x:c r="N19" s="36"/>
      <x:c r="O19" s="39"/>
      <x:c r="P19" s="40"/>
      <x:c r="Q19" s="36"/>
      <x:c r="R19" s="38" t="str">
        <x:v>Exclude</x:v>
      </x:c>
      <x:c r="S19" s="36" t="str">
        <x:v>API credits, not cash</x:v>
      </x:c>
      <x:c r="T19" s="1"/>
      <x:c r="U19" s="1"/>
      <x:c r="V19" s="1"/>
      <x:c r="W19" s="1"/>
      <x:c r="X19" s="1"/>
      <x:c r="Y19" s="1"/>
      <x:c r="Z19" s="1"/>
    </x:row>
    <x:row r="20" ht="34" customHeight="1">
      <x:c r="A20" s="30" t="n">
        <x:v>52</x:v>
      </x:c>
      <x:c r="B20" s="36" t="str">
        <x:v>AgentForce Hackathon 2026</x:v>
      </x:c>
      <x:c r="C20" s="36" t="str">
        <x:v>1st Prize (API Credits $500 USD)</x:v>
      </x:c>
      <x:c r="D20" s="36" t="str">
        <x:v>1st Prize</x:v>
      </x:c>
      <x:c r="E20" s="36"/>
      <x:c r="F20" s="32"/>
      <x:c r="G20" s="33"/>
      <x:c r="H20" s="37" t="n">
        <x:v>500</x:v>
      </x:c>
      <x:c r="I20" s="38" t="str">
        <x:v>USD</x:v>
      </x:c>
      <x:c r="J20" s="38"/>
      <x:c r="K20" s="37"/>
      <x:c r="L20" s="38"/>
      <x:c r="M20" s="36" t="str">
        <x:v>API credits</x:v>
      </x:c>
      <x:c r="N20" s="36"/>
      <x:c r="O20" s="39"/>
      <x:c r="P20" s="40"/>
      <x:c r="Q20" s="36"/>
      <x:c r="R20" s="38" t="str">
        <x:v>Exclude</x:v>
      </x:c>
      <x:c r="S20" s="36" t="str">
        <x:v>API credits, not cash</x:v>
      </x:c>
      <x:c r="T20" s="1"/>
      <x:c r="U20" s="1"/>
      <x:c r="V20" s="1"/>
      <x:c r="W20" s="1"/>
      <x:c r="X20" s="1"/>
      <x:c r="Y20" s="1"/>
      <x:c r="Z20" s="1"/>
    </x:row>
    <x:row r="21" ht="34" customHeight="1">
      <x:c r="A21" s="30" t="n">
        <x:v>53</x:v>
      </x:c>
      <x:c r="B21" s="36" t="str">
        <x:v>AgentForce Hackathon 2026</x:v>
      </x:c>
      <x:c r="C21" s="36" t="str">
        <x:v>1st Prize (API Credits $500 USD)</x:v>
      </x:c>
      <x:c r="D21" s="36" t="str">
        <x:v>1st Prize</x:v>
      </x:c>
      <x:c r="E21" s="36"/>
      <x:c r="F21" s="32"/>
      <x:c r="G21" s="33"/>
      <x:c r="H21" s="37" t="n">
        <x:v>500</x:v>
      </x:c>
      <x:c r="I21" s="38" t="str">
        <x:v>USD</x:v>
      </x:c>
      <x:c r="J21" s="38"/>
      <x:c r="K21" s="37"/>
      <x:c r="L21" s="38"/>
      <x:c r="M21" s="36" t="str">
        <x:v>API credits</x:v>
      </x:c>
      <x:c r="N21" s="36"/>
      <x:c r="O21" s="39"/>
      <x:c r="P21" s="40"/>
      <x:c r="Q21" s="36"/>
      <x:c r="R21" s="38" t="str">
        <x:v>Exclude</x:v>
      </x:c>
      <x:c r="S21" s="36" t="str">
        <x:v>API credits, not cash</x:v>
      </x:c>
      <x:c r="T21" s="1"/>
      <x:c r="U21" s="1"/>
      <x:c r="V21" s="1"/>
      <x:c r="W21" s="1"/>
      <x:c r="X21" s="1"/>
      <x:c r="Y21" s="1"/>
      <x:c r="Z21" s="1"/>
    </x:row>
    <x:row r="22" ht="34" customHeight="1">
      <x:c r="A22" s="30" t="n">
        <x:v>54</x:v>
      </x:c>
      <x:c r="B22" s="36" t="str">
        <x:v>SUSS X Openclaw Hackathon 2026</x:v>
      </x:c>
      <x:c r="C22" s="36" t="str">
        <x:v>1st Prize (Wavespeed AI Credits $150 USD)</x:v>
      </x:c>
      <x:c r="D22" s="36" t="str">
        <x:v>1st Prize</x:v>
      </x:c>
      <x:c r="E22" s="36"/>
      <x:c r="F22" s="32"/>
      <x:c r="G22" s="33"/>
      <x:c r="H22" s="37" t="n">
        <x:v>150</x:v>
      </x:c>
      <x:c r="I22" s="38" t="str">
        <x:v>USD</x:v>
      </x:c>
      <x:c r="J22" s="38"/>
      <x:c r="K22" s="37"/>
      <x:c r="L22" s="38"/>
      <x:c r="M22" s="36" t="str">
        <x:v>Wavespeed AI credits</x:v>
      </x:c>
      <x:c r="N22" s="36"/>
      <x:c r="O22" s="39"/>
      <x:c r="P22" s="40"/>
      <x:c r="Q22" s="36"/>
      <x:c r="R22" s="38" t="str">
        <x:v>Exclude</x:v>
      </x:c>
      <x:c r="S22" s="36" t="str">
        <x:v>API credits, not cash</x:v>
      </x:c>
      <x:c r="T22" s="1"/>
      <x:c r="U22" s="1"/>
      <x:c r="V22" s="1"/>
      <x:c r="W22" s="1"/>
      <x:c r="X22" s="1"/>
      <x:c r="Y22" s="1"/>
      <x:c r="Z22" s="1"/>
    </x:row>
    <x:row r="23" ht="34" customHeight="1">
      <x:c r="A23" s="30" t="n">
        <x:v>57</x:v>
      </x:c>
      <x:c r="B23" s="36" t="str">
        <x:v>Agora.io Voice AI Hackathon Singapore 2026</x:v>
      </x:c>
      <x:c r="C23" s="36" t="str">
        <x:v>3rd Prize: S$ 300 Cash, and S$ 385 worth of Credits</x:v>
      </x:c>
      <x:c r="D23" s="36" t="str">
        <x:v>3rd Prize</x:v>
      </x:c>
      <x:c r="E23" s="36"/>
      <x:c r="F23" s="32" t="n">
        <x:v>300</x:v>
      </x:c>
      <x:c r="G23" s="33" t="str">
        <x:v>SGD</x:v>
      </x:c>
      <x:c r="H23" s="37" t="n">
        <x:v>385</x:v>
      </x:c>
      <x:c r="I23" s="38" t="str">
        <x:v>SGD</x:v>
      </x:c>
      <x:c r="J23" s="38"/>
      <x:c r="K23" s="37"/>
      <x:c r="L23" s="38"/>
      <x:c r="M23" s="36" t="str">
        <x:v>Credits</x:v>
      </x:c>
      <x:c r="N23" s="36"/>
      <x:c r="O23" s="39"/>
      <x:c r="P23" s="40"/>
      <x:c r="Q23" s="36"/>
      <x:c r="R23" s="38" t="str">
        <x:v>Yes</x:v>
      </x:c>
      <x:c r="S23" s="36" t="str">
        <x:v>Explicit cash; credit value also tracked</x:v>
      </x:c>
      <x:c r="T23" s="1"/>
      <x:c r="U23" s="1"/>
      <x:c r="V23" s="1"/>
      <x:c r="W23" s="1"/>
      <x:c r="X23" s="1"/>
      <x:c r="Y23" s="1"/>
      <x:c r="Z23" s="1"/>
    </x:row>
    <x:row r="24" ht="34" customHeight="1">
      <x:c r="A24" s="30" t="n">
        <x:v>60</x:v>
      </x:c>
      <x:c r="B24" s="36" t="str">
        <x:v>Build Voice Agents with Speechmatics | TGB Buildathon 2026</x:v>
      </x:c>
      <x:c r="C24" s="36" t="str">
        <x:v>2K USD Speechmatics Credits</x:v>
      </x:c>
      <x:c r="D24" s="36" t="str">
        <x:v>Award</x:v>
      </x:c>
      <x:c r="E24" s="36" t="str">
        <x:v>Speechmatics</x:v>
      </x:c>
      <x:c r="F24" s="32"/>
      <x:c r="G24" s="33"/>
      <x:c r="H24" s="37" t="n">
        <x:v>2000</x:v>
      </x:c>
      <x:c r="I24" s="38" t="str">
        <x:v>USD</x:v>
      </x:c>
      <x:c r="J24" s="38"/>
      <x:c r="K24" s="37"/>
      <x:c r="L24" s="38"/>
      <x:c r="M24" s="36" t="str">
        <x:v>Speechmatics credits</x:v>
      </x:c>
      <x:c r="N24" s="36"/>
      <x:c r="O24" s="39"/>
      <x:c r="P24" s="40"/>
      <x:c r="Q24" s="36"/>
      <x:c r="R24" s="38" t="str">
        <x:v>Exclude</x:v>
      </x:c>
      <x:c r="S24" s="36" t="str">
        <x:v>USD-denominated credit value</x:v>
      </x:c>
      <x:c r="T24" s="1"/>
      <x:c r="U24" s="1"/>
      <x:c r="V24" s="1"/>
      <x:c r="W24" s="1"/>
      <x:c r="X24" s="1"/>
      <x:c r="Y24" s="1"/>
      <x:c r="Z24" s="1"/>
    </x:row>
    <x:row r="25" ht="34" customHeight="1">
      <x:c r="A25" s="30" t="n">
        <x:v>61</x:v>
      </x:c>
      <x:c r="B25" s="36" t="str">
        <x:v>Vercel Zero to Agent: Singapore (1 Hr Hackathon) 2026</x:v>
      </x:c>
      <x:c r="C25" s="36" t="str">
        <x:v>v0 Sock</x:v>
      </x:c>
      <x:c r="D25" s="36" t="str">
        <x:v>Award</x:v>
      </x:c>
      <x:c r="E25" s="36" t="str">
        <x:v>v0</x:v>
      </x:c>
      <x:c r="F25" s="32"/>
      <x:c r="G25" s="33"/>
      <x:c r="H25" s="37"/>
      <x:c r="I25" s="38"/>
      <x:c r="J25" s="38"/>
      <x:c r="K25" s="37"/>
      <x:c r="L25" s="38"/>
      <x:c r="M25" s="36" t="str">
        <x:v>v0 Sock</x:v>
      </x:c>
      <x:c r="N25" s="36" t="str">
        <x:v>v0 Sock</x:v>
      </x:c>
      <x:c r="O25" s="39" t="n">
        <x:v>0</x:v>
      </x:c>
      <x:c r="P25" s="40"/>
      <x:c r="Q25" s="36"/>
      <x:c r="R25" s="38" t="str">
        <x:v>Exclude</x:v>
      </x:c>
      <x:c r="S25" s="36" t="str">
        <x:v>Physical item, not cash</x:v>
      </x:c>
      <x:c r="T25" s="1"/>
      <x:c r="U25" s="1"/>
      <x:c r="V25" s="1"/>
      <x:c r="W25" s="1"/>
      <x:c r="X25" s="1"/>
      <x:c r="Y25" s="1"/>
      <x:c r="Z25" s="1"/>
    </x:row>
    <x:row r="26" ht="34" customHeight="1">
      <x:c r="A26" s="30" t="n">
        <x:v>66</x:v>
      </x:c>
      <x:c r="B26" s="36" t="str">
        <x:v>UCWS 2026 (Semi-Finals)</x:v>
      </x:c>
      <x:c r="C26" s="36" t="str">
        <x:v>Top 20, 10K USD OpenAI Credits, 2K USD Gemini Cloud Credits</x:v>
      </x:c>
      <x:c r="D26" s="36" t="str">
        <x:v>Top 20</x:v>
      </x:c>
      <x:c r="E26" s="36"/>
      <x:c r="F26" s="32"/>
      <x:c r="G26" s="33"/>
      <x:c r="H26" s="37" t="n">
        <x:v>12000</x:v>
      </x:c>
      <x:c r="I26" s="38" t="str">
        <x:v>USD</x:v>
      </x:c>
      <x:c r="J26" s="38"/>
      <x:c r="K26" s="37"/>
      <x:c r="L26" s="38"/>
      <x:c r="M26" s="36" t="str">
        <x:v>10K OpenAI credits; 2K Gemini Cloud credits</x:v>
      </x:c>
      <x:c r="N26" s="36"/>
      <x:c r="O26" s="39"/>
      <x:c r="P26" s="40"/>
      <x:c r="Q26" s="36"/>
      <x:c r="R26" s="38" t="str">
        <x:v>Exclude</x:v>
      </x:c>
      <x:c r="S26" s="36" t="str">
        <x:v>Credit value total combines two USD-denominated credits</x:v>
      </x:c>
      <x:c r="T26" s="1"/>
      <x:c r="U26" s="1"/>
      <x:c r="V26" s="1"/>
      <x:c r="W26" s="1"/>
      <x:c r="X26" s="1"/>
      <x:c r="Y26" s="1"/>
      <x:c r="Z26" s="1"/>
    </x:row>
    <x:row r="27" ht="34" customHeight="1">
      <x:c r="A27" s="30" t="n">
        <x:v>71</x:v>
      </x:c>
      <x:c r="B27" s="36" t="str">
        <x:v>BUIDL_OPC_Hackathon_SG</x:v>
      </x:c>
      <x:c r="C27" s="36" t="str">
        <x:v>4.5K AWS Credits</x:v>
      </x:c>
      <x:c r="D27" s="36" t="str">
        <x:v>Award</x:v>
      </x:c>
      <x:c r="E27" s="36" t="str">
        <x:v>AWS</x:v>
      </x:c>
      <x:c r="F27" s="32"/>
      <x:c r="G27" s="33"/>
      <x:c r="H27" s="37" t="n">
        <x:v>4500</x:v>
      </x:c>
      <x:c r="I27" s="38" t="str">
        <x:v>Units</x:v>
      </x:c>
      <x:c r="J27" s="38"/>
      <x:c r="K27" s="37"/>
      <x:c r="L27" s="38"/>
      <x:c r="M27" s="36" t="str">
        <x:v>AWS credits</x:v>
      </x:c>
      <x:c r="N27" s="36"/>
      <x:c r="O27" s="39"/>
      <x:c r="P27" s="40"/>
      <x:c r="Q27" s="36"/>
      <x:c r="R27" s="38" t="str">
        <x:v>Exclude</x:v>
      </x:c>
      <x:c r="S27" s="36" t="str">
        <x:v>Provider-specific credit units, not cash</x:v>
      </x:c>
      <x:c r="T27" s="1"/>
      <x:c r="U27" s="1"/>
      <x:c r="V27" s="1"/>
      <x:c r="W27" s="1"/>
      <x:c r="X27" s="1"/>
      <x:c r="Y27" s="1"/>
      <x:c r="Z27" s="1"/>
    </x:row>
    <x:row r="28" ht="34" customHeight="1">
      <x:c r="A28" s="30" t="n">
        <x:v>75</x:v>
      </x:c>
      <x:c r="B28" s="36" t="str">
        <x:v>One AI Hackathon 2026</x:v>
      </x:c>
      <x:c r="C28" s="36" t="str">
        <x:v>Best Vertical Solution (Family Office Track), 25USD + 2000 in app credits worth of Cybrdeck API credits</x:v>
      </x:c>
      <x:c r="D28" s="36" t="str">
        <x:v>Best Vertical Solution</x:v>
      </x:c>
      <x:c r="E28" s="36" t="str">
        <x:v>Family Office Track</x:v>
      </x:c>
      <x:c r="F28" s="32" t="n">
        <x:v>25</x:v>
      </x:c>
      <x:c r="G28" s="33" t="str">
        <x:v>USD</x:v>
      </x:c>
      <x:c r="H28" s="37" t="n">
        <x:v>2000</x:v>
      </x:c>
      <x:c r="I28" s="38" t="str">
        <x:v>Units</x:v>
      </x:c>
      <x:c r="J28" s="38"/>
      <x:c r="K28" s="37"/>
      <x:c r="L28" s="38"/>
      <x:c r="M28" s="36" t="str">
        <x:v>Cybrdeck API credits</x:v>
      </x:c>
      <x:c r="N28" s="36"/>
      <x:c r="O28" s="39"/>
      <x:c r="P28" s="40"/>
      <x:c r="Q28" s="36"/>
      <x:c r="R28" s="38" t="str">
        <x:v>Pending</x:v>
      </x:c>
      <x:c r="S28" s="36" t="str">
        <x:v>Confirm whether 25 USD was cash; credits are provider units</x:v>
      </x:c>
      <x:c r="T28" s="1"/>
      <x:c r="U28" s="1"/>
      <x:c r="V28" s="1"/>
      <x:c r="W28" s="1"/>
      <x:c r="X28" s="1"/>
      <x:c r="Y28" s="1"/>
      <x:c r="Z28" s="1"/>
    </x:row>
    <x:row r="29" ht="34" customHeight="1">
      <x:c r="A29" s="30" t="n">
        <x:v>79</x:v>
      </x:c>
      <x:c r="B29" s="36" t="str">
        <x:v>SG × SWK Friendship AI Business Design Hackathon</x:v>
      </x:c>
      <x:c r="C29" s="36" t="str">
        <x:v>Trophy, First Runner Up, SG × Sarawak AI &amp; Design Hackathon 2026, 200 USD Kimi AI credits</x:v>
      </x:c>
      <x:c r="D29" s="36" t="str">
        <x:v>First Runner Up</x:v>
      </x:c>
      <x:c r="E29" s="36" t="str">
        <x:v>SG × Sarawak AI &amp; Design Hackathon 2026</x:v>
      </x:c>
      <x:c r="F29" s="32"/>
      <x:c r="G29" s="33"/>
      <x:c r="H29" s="37" t="n">
        <x:v>200</x:v>
      </x:c>
      <x:c r="I29" s="38" t="str">
        <x:v>USD</x:v>
      </x:c>
      <x:c r="J29" s="38"/>
      <x:c r="K29" s="37"/>
      <x:c r="L29" s="38"/>
      <x:c r="M29" s="36" t="str">
        <x:v>Trophy; Kimi AI credits</x:v>
      </x:c>
      <x:c r="N29" s="36" t="str">
        <x:v>Trophy</x:v>
      </x:c>
      <x:c r="O29" s="39" t="n">
        <x:v>1</x:v>
      </x:c>
      <x:c r="P29" s="40"/>
      <x:c r="Q29" s="36"/>
      <x:c r="R29" s="38" t="str">
        <x:v>Exclude</x:v>
      </x:c>
      <x:c r="S29" s="36" t="str">
        <x:v>Trophy excluded; credit value tracked</x:v>
      </x:c>
      <x:c r="T29" s="1"/>
      <x:c r="U29" s="1"/>
      <x:c r="V29" s="1"/>
      <x:c r="W29" s="1"/>
      <x:c r="X29" s="1"/>
      <x:c r="Y29" s="1"/>
      <x:c r="Z29" s="1"/>
    </x:row>
    <x:row r="30" ht="34" customHeight="1">
      <x:c r="A30" s="30" t="n">
        <x:v>80</x:v>
      </x:c>
      <x:c r="B30" s="36" t="str">
        <x:v>GPT-6 Astra Hackathon: Singapore</x:v>
      </x:c>
      <x:c r="C30" s="36" t="str">
        <x:v>Best use of GPT-Image-2.5, 5,000 USD OpenAI credits</x:v>
      </x:c>
      <x:c r="D30" s="36" t="str">
        <x:v>Best Project</x:v>
      </x:c>
      <x:c r="E30" s="36" t="str">
        <x:v>Best Use of GPT-Image-2.5</x:v>
      </x:c>
      <x:c r="F30" s="32"/>
      <x:c r="G30" s="33"/>
      <x:c r="H30" s="37" t="n">
        <x:v>5000</x:v>
      </x:c>
      <x:c r="I30" s="38" t="str">
        <x:v>USD</x:v>
      </x:c>
      <x:c r="J30" s="38"/>
      <x:c r="K30" s="37"/>
      <x:c r="L30" s="38"/>
      <x:c r="M30" s="36" t="str">
        <x:v>OpenAI credits</x:v>
      </x:c>
      <x:c r="N30" s="36"/>
      <x:c r="O30" s="39"/>
      <x:c r="P30" s="40"/>
      <x:c r="Q30" s="36"/>
      <x:c r="R30" s="38" t="str">
        <x:v>Exclude</x:v>
      </x:c>
      <x:c r="S30" s="36" t="str">
        <x:v>Credit value tracked</x:v>
      </x:c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2:S2"/>
    <x:mergeCell ref="A3:S3"/>
  </x:mergeCells>
  <x:conditionalFormatting sqref="R6:R30">
    <x:cfRule type="containsText" dxfId="0" priority="1" operator="containsText" text="Pending"/>
    <x:cfRule type="containsText" dxfId="1" priority="2" operator="containsText" text="Yes"/>
    <x:cfRule type="containsText" dxfId="2" priority="3" operator="containsText" text="Exclude"/>
  </x:conditionalFormatting>
  <x:dataValidations count="5">
    <x:dataValidation type="list" sqref="R6:R30">
      <x:formula1>"Yes,Pending,Exclude"</x:formula1>
    </x:dataValidation>
    <x:dataValidation type="list" sqref="G6:G30">
      <x:formula1>"SGD,USD"</x:formula1>
    </x:dataValidation>
    <x:dataValidation type="list" sqref="I6:I30">
      <x:formula1>"SGD,USD,Units"</x:formula1>
    </x:dataValidation>
    <x:dataValidation type="list" sqref="L6:L30">
      <x:formula1>"SGD,USD"</x:formula1>
    </x:dataValidation>
    <x:dataValidation type="list" sqref="Q6:Q30">
      <x:formula1>"SGD,USD"</x:formula1>
    </x:dataValidation>
  </x:dataValidations>
  <x:pageMargins left="0.7" right="0.7" top="0.75" bottom="0.75" header="0.3" footer="0.3"/>
</x:worksheet>
</file>