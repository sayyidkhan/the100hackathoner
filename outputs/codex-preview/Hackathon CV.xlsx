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ackathons" sheetId="1" state="visible" r:id="rId3"/>
    <sheet name="People" sheetId="2" state="visible" r:id="rId4"/>
    <sheet name="Socials" sheetId="3" state="visible" r:id="rId5"/>
    <sheet name="Theme Map" sheetId="4" state="visible" r:id="rId6"/>
    <sheet name="Prize Money" sheetId="5" state="visible" r:id="rId7"/>
    <sheet name="Prize Detail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<sst xmlns="http://schemas.openxmlformats.org/spreadsheetml/2006/main" count="2027" uniqueCount="1244">
  <si>
    <t xml:space="preserve">#</t>
  </si>
  <si>
    <t xml:space="preserve">Hackathon Name</t>
  </si>
  <si>
    <t xml:space="preserve">Organizers</t>
  </si>
  <si>
    <t xml:space="preserve">Date</t>
  </si>
  <si>
    <t xml:space="preserve">Duration</t>
  </si>
  <si>
    <t xml:space="preserve">Duration Unit</t>
  </si>
  <si>
    <t xml:space="preserve">Award</t>
  </si>
  <si>
    <t xml:space="preserve">Industry / Theme</t>
  </si>
  <si>
    <t xml:space="preserve">Solution</t>
  </si>
  <si>
    <t xml:space="preserve">Team Members</t>
  </si>
  <si>
    <t xml:space="preserve">Product Name</t>
  </si>
  <si>
    <t xml:space="preserve">Client</t>
  </si>
  <si>
    <t xml:space="preserve">Country</t>
  </si>
  <si>
    <t xml:space="preserve">Location</t>
  </si>
  <si>
    <t xml:space="preserve">Source Code</t>
  </si>
  <si>
    <t xml:space="preserve">Event Link</t>
  </si>
  <si>
    <t xml:space="preserve">Award Type</t>
  </si>
  <si>
    <t xml:space="preserve">Additional Info</t>
  </si>
  <si>
    <t xml:space="preserve">Cash-equivalent Amount</t>
  </si>
  <si>
    <t xml:space="preserve">Cash-equivalent Currency</t>
  </si>
  <si>
    <t xml:space="preserve">Credit Amount</t>
  </si>
  <si>
    <t xml:space="preserve">Credit Currency / Units</t>
  </si>
  <si>
    <t xml:space="preserve">Subscription Count</t>
  </si>
  <si>
    <t xml:space="preserve">Subscription Amount</t>
  </si>
  <si>
    <t xml:space="preserve">Subscription Currency</t>
  </si>
  <si>
    <t xml:space="preserve">Other Non-cash Prize</t>
  </si>
  <si>
    <t xml:space="preserve">Physical Asset</t>
  </si>
  <si>
    <t xml:space="preserve">Trophy Count</t>
  </si>
  <si>
    <t xml:space="preserve">Funding Amount</t>
  </si>
  <si>
    <t xml:space="preserve">Funding Currency</t>
  </si>
  <si>
    <t xml:space="preserve">Cash-equivalent Treatment</t>
  </si>
  <si>
    <t xml:space="preserve">Review Note</t>
  </si>
  <si>
    <t xml:space="preserve">Award Summary</t>
  </si>
  <si>
    <t xml:space="preserve">Hackathon Team Members</t>
  </si>
  <si>
    <t xml:space="preserve">Prize Allocation</t>
  </si>
  <si>
    <t xml:space="preserve">Education Technology Hackathon</t>
  </si>
  <si>
    <t xml:space="preserve">Biipmi Pte Ltd</t>
  </si>
  <si>
    <t xml:space="preserve">1st Sep - 3rd Sept 2016</t>
  </si>
  <si>
    <t xml:space="preserve">Days</t>
  </si>
  <si>
    <t xml:space="preserve">First Place, 18k SGD seed Funding</t>
  </si>
  <si>
    <t xml:space="preserve">Education</t>
  </si>
  <si>
    <t xml:space="preserve">Work Place Learning Solution</t>
  </si>
  <si>
    <t xml:space="preserve">Hazni (Biz Dev), Cheryl (Marketing), David 01-02 (01, 02) (Educator), Sayyid (UI/UX)</t>
  </si>
  <si>
    <t xml:space="preserve">Xueyiyi V1.0</t>
  </si>
  <si>
    <t xml:space="preserve">-</t>
  </si>
  <si>
    <t xml:space="preserve">Singapore</t>
  </si>
  <si>
    <t xml:space="preserve">Lifelong Learning Institute / Scape</t>
  </si>
  <si>
    <t xml:space="preserve">1st Place</t>
  </si>
  <si>
    <t xml:space="preserve">SGD</t>
  </si>
  <si>
    <t xml:space="preserve">Exclude</t>
  </si>
  <si>
    <t xml:space="preserve">Funding, not a cash prize</t>
  </si>
  <si>
    <t xml:space="preserve">1st Place — S$18,000 Seed Funding</t>
  </si>
  <si>
    <t xml:space="preserve">Per Team</t>
  </si>
  <si>
    <t xml:space="preserve">Innovplus 2016 2nd Quarter</t>
  </si>
  <si>
    <t xml:space="preserve">Inlab</t>
  </si>
  <si>
    <t xml:space="preserve">Sep - Oct 2016</t>
  </si>
  <si>
    <t xml:space="preserve">Month</t>
  </si>
  <si>
    <t xml:space="preserve">Hazni (Biz Dev), David 01-02 (01, 02) (Educator &amp; PM), Sayyid (UI/UX)</t>
  </si>
  <si>
    <t xml:space="preserve">Xueyiyi V2.0</t>
  </si>
  <si>
    <t xml:space="preserve">Colleads, SMER, Prince</t>
  </si>
  <si>
    <t xml:space="preserve">Lifelong Learning Institute</t>
  </si>
  <si>
    <t xml:space="preserve">DataDriven Hackathon 2016</t>
  </si>
  <si>
    <t xml:space="preserve">Keeboola Asia &amp; CodingGirls</t>
  </si>
  <si>
    <t xml:space="preserve">*rated best project</t>
  </si>
  <si>
    <t xml:space="preserve">Property Management, Data Analytics</t>
  </si>
  <si>
    <t xml:space="preserve">Increase Conversion Rate for PropertyGuru</t>
  </si>
  <si>
    <t xml:space="preserve">Yishu See, Sayyid, Wilson Chua, Gaille Teo, Ryan, Nicholas Ling</t>
  </si>
  <si>
    <t xml:space="preserve">PropertyGuru Smart Algorithm</t>
  </si>
  <si>
    <t xml:space="preserve">PropertyGuru</t>
  </si>
  <si>
    <t xml:space="preserve">NUS</t>
  </si>
  <si>
    <t xml:space="preserve">Best Project</t>
  </si>
  <si>
    <t xml:space="preserve">Rated best project</t>
  </si>
  <si>
    <t xml:space="preserve">Recognition only</t>
  </si>
  <si>
    <t xml:space="preserve">Fintech Festival Hackathon 2016</t>
  </si>
  <si>
    <t xml:space="preserve">ByteAcademy &amp; IBM</t>
  </si>
  <si>
    <t xml:space="preserve">1st Place, Best Use of IBM Bluemix, US$100,000 IBM Bluemix Credits, SmartWatch</t>
  </si>
  <si>
    <t xml:space="preserve">Fintech</t>
  </si>
  <si>
    <t xml:space="preserve">Tackle Financial Inclusion with data-science</t>
  </si>
  <si>
    <t xml:space="preserve">Roger, Wilson Chua, Aaron Gong, Sayyid</t>
  </si>
  <si>
    <t xml:space="preserve">SocialCapitalAsia</t>
  </si>
  <si>
    <t xml:space="preserve">Bank of Mangaladan</t>
  </si>
  <si>
    <t xml:space="preserve">Singapore Expo</t>
  </si>
  <si>
    <t xml:space="preserve">Best Use of IBM Bluemix</t>
  </si>
  <si>
    <t xml:space="preserve">USD</t>
  </si>
  <si>
    <t xml:space="preserve">IBM Bluemix credits; SmartWatch</t>
  </si>
  <si>
    <t xml:space="preserve">SmartWatch</t>
  </si>
  <si>
    <t xml:space="preserve">US$100,000 IBM Bluemix credit value</t>
  </si>
  <si>
    <t xml:space="preserve">1st Place — Best Use of IBM Bluemix — US$100,000 IBM Bluemix Credits — SmartWatch</t>
  </si>
  <si>
    <t xml:space="preserve">Edu-Tech Hackathon 2017</t>
  </si>
  <si>
    <t xml:space="preserve">NUS Edu-tech</t>
  </si>
  <si>
    <t xml:space="preserve">Improve learning via ML/DL</t>
  </si>
  <si>
    <t xml:space="preserve">Mathilde Gaucher, Xiao Heng, Raimie Tang, Sayyid</t>
  </si>
  <si>
    <t xml:space="preserve">SayWhat</t>
  </si>
  <si>
    <t xml:space="preserve">SO.IMPACT Bootcamp 2017</t>
  </si>
  <si>
    <t xml:space="preserve">Scape/DBS/UnFramed</t>
  </si>
  <si>
    <t xml:space="preserve">Feb - Mar 2017</t>
  </si>
  <si>
    <t xml:space="preserve">Weeks</t>
  </si>
  <si>
    <t xml:space="preserve">Roger, Wilson Chua, Aaron Gong, Sayyid, Gayan Wiharagoda</t>
  </si>
  <si>
    <t xml:space="preserve">Scape</t>
  </si>
  <si>
    <t xml:space="preserve">#UNITEDWEHACK – Empower Women 2017</t>
  </si>
  <si>
    <t xml:space="preserve">AngelHack, Spacemob, GA</t>
  </si>
  <si>
    <t xml:space="preserve">Logistics &amp; Delivery</t>
  </si>
  <si>
    <t xml:space="preserve">Last-mile delivery service in third-world countries</t>
  </si>
  <si>
    <t xml:space="preserve">Ann, Shi Yang, Sayyid, Leon</t>
  </si>
  <si>
    <t xml:space="preserve">Vanita</t>
  </si>
  <si>
    <t xml:space="preserve">Spacemob</t>
  </si>
  <si>
    <t xml:space="preserve">NUS Data Hackathon 2017</t>
  </si>
  <si>
    <t xml:space="preserve">Healthcare</t>
  </si>
  <si>
    <t xml:space="preserve">Face-mapping health analysis</t>
  </si>
  <si>
    <t xml:space="preserve">Celine Lim, Eric, Sayyid</t>
  </si>
  <si>
    <t xml:space="preserve">Vainster</t>
  </si>
  <si>
    <t xml:space="preserve">#BOT Hackathon – Bosch IOT 2017</t>
  </si>
  <si>
    <t xml:space="preserve">Bosch</t>
  </si>
  <si>
    <t xml:space="preserve">Notifier Mailer system</t>
  </si>
  <si>
    <t xml:space="preserve">Anna Tantushyan, Eileen Chua, Singaram, Sayyid</t>
  </si>
  <si>
    <t xml:space="preserve">Mailbox IOT system</t>
  </si>
  <si>
    <t xml:space="preserve">Block 71</t>
  </si>
  <si>
    <t xml:space="preserve">DataDriven Hackathon 2017</t>
  </si>
  <si>
    <t xml:space="preserve">Keeboola Asia</t>
  </si>
  <si>
    <t xml:space="preserve">*rated best project </t>
  </si>
  <si>
    <t xml:space="preserve">Various, Data Analytics</t>
  </si>
  <si>
    <t xml:space="preserve">App for expats/home movers</t>
  </si>
  <si>
    <t xml:space="preserve">Sayyid, Ilas, Gene</t>
  </si>
  <si>
    <t xml:space="preserve">Swagmylife</t>
  </si>
  <si>
    <t xml:space="preserve">PropertyGuru, Esplanade, Tabsquare</t>
  </si>
  <si>
    <t xml:space="preserve">Facebook APAC 2017</t>
  </si>
  <si>
    <t xml:space="preserve">SUTD Whatthehack Hackathon 2017</t>
  </si>
  <si>
    <t xml:space="preserve">SUTD</t>
  </si>
  <si>
    <t xml:space="preserve">Edu-Fintech, Data Analytics</t>
  </si>
  <si>
    <t xml:space="preserve">Student budget/lifestyle optimizer</t>
  </si>
  <si>
    <t xml:space="preserve">Sayyid, Mortiz, Terry, Hendry</t>
  </si>
  <si>
    <t xml:space="preserve">Warriors&amp;Mages</t>
  </si>
  <si>
    <t xml:space="preserve">Intuition Hackathon 2017</t>
  </si>
  <si>
    <t xml:space="preserve">NTU</t>
  </si>
  <si>
    <t xml:space="preserve">Impact investment search tool</t>
  </si>
  <si>
    <t xml:space="preserve">Daryll (Biz Dev), Sayyid (Design/Tech), Edward, Matthew Tan (Design/Tech)</t>
  </si>
  <si>
    <t xml:space="preserve">Nestash</t>
  </si>
  <si>
    <t xml:space="preserve">Blackrock</t>
  </si>
  <si>
    <t xml:space="preserve">Hack&amp;Roll 2018</t>
  </si>
  <si>
    <t xml:space="preserve">Personal Development, Data Analytics</t>
  </si>
  <si>
    <t xml:space="preserve">Time optimization analytics</t>
  </si>
  <si>
    <t xml:space="preserve">Jet New, Sayyid</t>
  </si>
  <si>
    <t xml:space="preserve">Life-Worth Evaluator</t>
  </si>
  <si>
    <t xml:space="preserve">#SPSEC SP Hackathon 2018</t>
  </si>
  <si>
    <t xml:space="preserve">SP</t>
  </si>
  <si>
    <t xml:space="preserve">3rd Place, $100 Capitaland voucher</t>
  </si>
  <si>
    <t xml:space="preserve">Food, Health &amp; Fitness</t>
  </si>
  <si>
    <t xml:space="preserve">Dietary food locator</t>
  </si>
  <si>
    <t xml:space="preserve">Sayyid, Hong Wei</t>
  </si>
  <si>
    <t xml:space="preserve">Smart Food Bridge</t>
  </si>
  <si>
    <t xml:space="preserve">3rd Place</t>
  </si>
  <si>
    <t xml:space="preserve">S$100 Capitaland voucher</t>
  </si>
  <si>
    <t xml:space="preserve">Yes</t>
  </si>
  <si>
    <t xml:space="preserve">Voucher counted as cash equivalent</t>
  </si>
  <si>
    <t xml:space="preserve">3rd Place — S$100 Capitaland Voucher Each</t>
  </si>
  <si>
    <t xml:space="preserve">Per Team Member</t>
  </si>
  <si>
    <t xml:space="preserve">#FOSSASIA SP Hackathon 2018</t>
  </si>
  <si>
    <t xml:space="preserve">FOSSASIA</t>
  </si>
  <si>
    <t xml:space="preserve">Weather, Data Analytics</t>
  </si>
  <si>
    <t xml:space="preserve">Rain-to-flood probability analytics</t>
  </si>
  <si>
    <t xml:space="preserve">syabiqah phang, Jason Choo Yan Sheng, Sayyid</t>
  </si>
  <si>
    <t xml:space="preserve">Weather Guru</t>
  </si>
  <si>
    <t xml:space="preserve">#SmartCity Hackathon 2018</t>
  </si>
  <si>
    <t xml:space="preserve">Energo</t>
  </si>
  <si>
    <t xml:space="preserve">Social Enterprise, E-Waste</t>
  </si>
  <si>
    <t xml:space="preserve">E-waste collection for elderly empowerment</t>
  </si>
  <si>
    <t xml:space="preserve">Bobby Lim, Willie</t>
  </si>
  <si>
    <t xml:space="preserve">Goblin (E-Waste Collector)</t>
  </si>
  <si>
    <t xml:space="preserve">NTU Alumni Club</t>
  </si>
  <si>
    <t xml:space="preserve">#Mosque-Tech Challenge 2018</t>
  </si>
  <si>
    <t xml:space="preserve">Mendaki</t>
  </si>
  <si>
    <t xml:space="preserve">2nd Place, $600 cash</t>
  </si>
  <si>
    <t xml:space="preserve">Fintech, Shariah Compliance</t>
  </si>
  <si>
    <t xml:space="preserve">Shariah-compliant investment analyzer</t>
  </si>
  <si>
    <t xml:space="preserve">Matthew Tan, Sayyid, Jay</t>
  </si>
  <si>
    <t xml:space="preserve">iceigloo</t>
  </si>
  <si>
    <t xml:space="preserve">Muhajirin Mosque</t>
  </si>
  <si>
    <t xml:space="preserve">2nd Place</t>
  </si>
  <si>
    <t xml:space="preserve">Explicit cash</t>
  </si>
  <si>
    <t xml:space="preserve">2nd Place — S$600 Cash</t>
  </si>
  <si>
    <t xml:space="preserve">#WSG HR Hackathon 2018</t>
  </si>
  <si>
    <t xml:space="preserve">Padang.co</t>
  </si>
  <si>
    <t xml:space="preserve">Sep 8-9, 2018</t>
  </si>
  <si>
    <t xml:space="preserve">Human Resource</t>
  </si>
  <si>
    <t xml:space="preserve">Job description optimizer</t>
  </si>
  <si>
    <t xml:space="preserve">Jun Ting, Lucas Grey, Sayyid, Benjamin Chong</t>
  </si>
  <si>
    <t xml:space="preserve">Checker App</t>
  </si>
  <si>
    <t xml:space="preserve">Mapletree Business City</t>
  </si>
  <si>
    <t xml:space="preserve">#NTU Intuition Hackathon 2018</t>
  </si>
  <si>
    <t xml:space="preserve">Oct 13-14, 2018</t>
  </si>
  <si>
    <t xml:space="preserve">Fintech, Financial Legacy</t>
  </si>
  <si>
    <t xml:space="preserve">Open-source digital will planner</t>
  </si>
  <si>
    <t xml:space="preserve">Gia, Timothy John, Balint, Sayyid</t>
  </si>
  <si>
    <t xml:space="preserve">Fasight</t>
  </si>
  <si>
    <t xml:space="preserve">NTU (The Arc – North Spine)</t>
  </si>
  <si>
    <t xml:space="preserve">#NASA Space Hackathon 2018</t>
  </si>
  <si>
    <t xml:space="preserve">Padang.co &amp; NASA</t>
  </si>
  <si>
    <t xml:space="preserve">Oct 20-21, 2018</t>
  </si>
  <si>
    <t xml:space="preserve">Space</t>
  </si>
  <si>
    <t xml:space="preserve">Data visualization app</t>
  </si>
  <si>
    <t xml:space="preserve">Heng Pei, Evan, Yu Ning, Jason Choo Yan Sheng, Sayyid</t>
  </si>
  <si>
    <t xml:space="preserve">CO2unter</t>
  </si>
  <si>
    <t xml:space="preserve">#SP Smart Nation Hackathon 2018</t>
  </si>
  <si>
    <t xml:space="preserve">Nov 10, 2018</t>
  </si>
  <si>
    <t xml:space="preserve">Smart Nation / Social Good</t>
  </si>
  <si>
    <t xml:space="preserve">Group food recommendation app</t>
  </si>
  <si>
    <t xml:space="preserve">David 21-23-24-25 (21, 23, 24, 25), Matthew Tan, Sayyid</t>
  </si>
  <si>
    <t xml:space="preserve">WinWinCusine</t>
  </si>
  <si>
    <t xml:space="preserve">Singapore Poly (LT18A)</t>
  </si>
  <si>
    <t xml:space="preserve">Super Silly Hackathon 2018</t>
  </si>
  <si>
    <t xml:space="preserve">GoJek</t>
  </si>
  <si>
    <t xml:space="preserve">Dec 15, 2018</t>
  </si>
  <si>
    <t xml:space="preserve">Afterlife</t>
  </si>
  <si>
    <t xml:space="preserve">Shoe burial service</t>
  </si>
  <si>
    <t xml:space="preserve">Sayyid</t>
  </si>
  <si>
    <t xml:space="preserve">ShoeObituaries</t>
  </si>
  <si>
    <t xml:space="preserve">GoJek Office (38 Sin Ming Ln)</t>
  </si>
  <si>
    <t xml:space="preserve">#NUS Hack&amp;Roll 2019</t>
  </si>
  <si>
    <t xml:space="preserve">Jan 19-20, 2019</t>
  </si>
  <si>
    <t xml:space="preserve">Pest Busting</t>
  </si>
  <si>
    <t xml:space="preserve">IoT pest detector</t>
  </si>
  <si>
    <t xml:space="preserve">Sayyid, Kyren, Matthew Tan, David 21-23-24-25 (21, 23, 24, 25)</t>
  </si>
  <si>
    <t xml:space="preserve">PestOverflow</t>
  </si>
  <si>
    <t xml:space="preserve">#HACKNTU 2019</t>
  </si>
  <si>
    <t xml:space="preserve">Smart Nation</t>
  </si>
  <si>
    <t xml:space="preserve">Gym location analytics</t>
  </si>
  <si>
    <t xml:space="preserve">Sayyid, Kenneth, Matthew Tan, David 21-23-24-25 (21, 23, 24, 25)</t>
  </si>
  <si>
    <t xml:space="preserve">MyNextGym</t>
  </si>
  <si>
    <t xml:space="preserve">NTU (The ARC – North Spine)</t>
  </si>
  <si>
    <t xml:space="preserve">#Mosque Hackathon 2019</t>
  </si>
  <si>
    <t xml:space="preserve">An-Nur Mosque</t>
  </si>
  <si>
    <t xml:space="preserve">May 19-20, 2019</t>
  </si>
  <si>
    <t xml:space="preserve">3rd Place, $500 SGD cash</t>
  </si>
  <si>
    <t xml:space="preserve">Healthy Living</t>
  </si>
  <si>
    <t xml:space="preserve">Mnemonics for memory retention</t>
  </si>
  <si>
    <t xml:space="preserve">Sayyid, Matthew Tan, David 21-23-24-25 (21, 23, 24, 25)</t>
  </si>
  <si>
    <t xml:space="preserve">NeuroSurge</t>
  </si>
  <si>
    <t xml:space="preserve">3rd Place — S$500 Cash</t>
  </si>
  <si>
    <t xml:space="preserve">#Flutter Hackathon 2019</t>
  </si>
  <si>
    <t xml:space="preserve">Flutter &amp; PSLOVE</t>
  </si>
  <si>
    <t xml:space="preserve">Jun 1, 2019</t>
  </si>
  <si>
    <t xml:space="preserve">Education / Linguistics</t>
  </si>
  <si>
    <t xml:space="preserve">Language exchange platform</t>
  </si>
  <si>
    <t xml:space="preserve">Sayyid, Kamil, Kashif, Aseem Wangoo, Arthur</t>
  </si>
  <si>
    <t xml:space="preserve">Amigo</t>
  </si>
  <si>
    <t xml:space="preserve">#AngelHack 2019</t>
  </si>
  <si>
    <t xml:space="preserve">AngelHack, AWS, IBM, Grab</t>
  </si>
  <si>
    <t xml:space="preserve">Jun 6-7, 2019</t>
  </si>
  <si>
    <t xml:space="preserve">E-credits via GrabPoints</t>
  </si>
  <si>
    <t xml:space="preserve">Sayyid, Jason Choo Yan Sheng, Kang Liang Koh, Ashraf</t>
  </si>
  <si>
    <t xml:space="preserve">GrabHunt</t>
  </si>
  <si>
    <t xml:space="preserve">PSB Academy STEM Campus</t>
  </si>
  <si>
    <t xml:space="preserve">#SWSG 2019</t>
  </si>
  <si>
    <t xml:space="preserve">Startup Weekend SG</t>
  </si>
  <si>
    <t xml:space="preserve">Sep 6-8, 2019</t>
  </si>
  <si>
    <t xml:space="preserve">Waste Management / Sustainability</t>
  </si>
  <si>
    <t xml:space="preserve">Gamified recycling app</t>
  </si>
  <si>
    <t xml:space="preserve">Sayyid, Jason Choo Yan Sheng, Bobby Lim, Maureen</t>
  </si>
  <si>
    <t xml:space="preserve">Kitar-GO</t>
  </si>
  <si>
    <t xml:space="preserve">SCAPE (Level 5)</t>
  </si>
  <si>
    <t xml:space="preserve">Intuition 6.0</t>
  </si>
  <si>
    <t xml:space="preserve">Oct 12-13, 2019</t>
  </si>
  <si>
    <t xml:space="preserve">Home waste-picking robot</t>
  </si>
  <si>
    <t xml:space="preserve">Sayyid, Matthew Tan, Sin Mei Chong, Zi Cing Sim</t>
  </si>
  <si>
    <t xml:space="preserve">Super Silly Hackathon 2019</t>
  </si>
  <si>
    <t xml:space="preserve">Carousell</t>
  </si>
  <si>
    <t xml:space="preserve">Dec 14, 2019</t>
  </si>
  <si>
    <t xml:space="preserve">Silly Solutions</t>
  </si>
  <si>
    <t xml:space="preserve">Couple expectation manager (Angel/Devil concept)</t>
  </si>
  <si>
    <t xml:space="preserve">Sayyid, Haley</t>
  </si>
  <si>
    <t xml:space="preserve">The Punisher</t>
  </si>
  <si>
    <t xml:space="preserve">Carousell @ Keppel Towers 2</t>
  </si>
  <si>
    <t xml:space="preserve">Mosque Tech Challenge 2023</t>
  </si>
  <si>
    <t xml:space="preserve">Al-Falah Mosque</t>
  </si>
  <si>
    <t xml:space="preserve">Apr 15-16, 2023</t>
  </si>
  <si>
    <t xml:space="preserve">Wellness / Healthcare</t>
  </si>
  <si>
    <t xml:space="preserve">Career/learning/mental health tracker</t>
  </si>
  <si>
    <t xml:space="preserve">Sayyid, Iskandar Zulkarnain, Hakam, Hakim</t>
  </si>
  <si>
    <t xml:space="preserve">GrowthGuru</t>
  </si>
  <si>
    <t xml:space="preserve">ICP Ideathon 2023</t>
  </si>
  <si>
    <t xml:space="preserve">ICP</t>
  </si>
  <si>
    <t xml:space="preserve">Dec 17-18, 2023</t>
  </si>
  <si>
    <t xml:space="preserve">Productivity</t>
  </si>
  <si>
    <t xml:space="preserve">Web3 jargon summarizer (Instagram-style)</t>
  </si>
  <si>
    <t xml:space="preserve">Sayyid, Iskandar Zulkarnain</t>
  </si>
  <si>
    <t xml:space="preserve">Instareadr</t>
  </si>
  <si>
    <t xml:space="preserve">Cineleisure Orchard</t>
  </si>
  <si>
    <t xml:space="preserve">3rd Prize (S$250 Cash)</t>
  </si>
  <si>
    <t xml:space="preserve">Decentralized website builder on ICP blockchain</t>
  </si>
  <si>
    <t xml:space="preserve">Sayyid, Jimmy Peh</t>
  </si>
  <si>
    <t xml:space="preserve">Structur3</t>
  </si>
  <si>
    <t xml:space="preserve">Confirmed cash</t>
  </si>
  <si>
    <t xml:space="preserve">3rd Place — S$250 Cash</t>
  </si>
  <si>
    <t xml:space="preserve">Builder Together: AI Hackathon 2024</t>
  </si>
  <si>
    <t xml:space="preserve">Antler</t>
  </si>
  <si>
    <t xml:space="preserve">Jun 6-7, 2024</t>
  </si>
  <si>
    <t xml:space="preserve">AI quiz generator from videos (enterprise)</t>
  </si>
  <si>
    <t xml:space="preserve">Sayyid, Arav Behl, Manas</t>
  </si>
  <si>
    <t xml:space="preserve">LrnMate</t>
  </si>
  <si>
    <t xml:space="preserve">128 Princep Street, Singapore</t>
  </si>
  <si>
    <t xml:space="preserve">https://github.com/arav-behl/LrnMate/tree/main</t>
  </si>
  <si>
    <t xml:space="preserve">Mosque Tech Challenge 2025</t>
  </si>
  <si>
    <t xml:space="preserve">Al-Mawaddah Mosque</t>
  </si>
  <si>
    <t xml:space="preserve">Mar 22-23, 2025</t>
  </si>
  <si>
    <t xml:space="preserve">2nd Prize (S$1,000 Cash)</t>
  </si>
  <si>
    <t xml:space="preserve">Family</t>
  </si>
  <si>
    <t xml:space="preserve">Father-child bonding app (Gen AI adventures)</t>
  </si>
  <si>
    <t xml:space="preserve">Sayyid, Adib Yusof, Ali Marzuki, Hilsann Yong</t>
  </si>
  <si>
    <t xml:space="preserve">AnginOmbak</t>
  </si>
  <si>
    <t xml:space="preserve">https://github.com/sayyidkhan/anginombak</t>
  </si>
  <si>
    <t xml:space="preserve">2nd Place — S$1,000 Cash</t>
  </si>
  <si>
    <t xml:space="preserve">Super AI Hackathon 2025</t>
  </si>
  <si>
    <t xml:space="preserve">Super AI</t>
  </si>
  <si>
    <t xml:space="preserve">Jun 17-19, 2025</t>
  </si>
  <si>
    <t xml:space="preserve">Open Track</t>
  </si>
  <si>
    <t xml:space="preserve">AI consulting for SMEs (McKinsey-style)</t>
  </si>
  <si>
    <t xml:space="preserve">Joewin Tan, Sayyid, Lester Cheong, Wan Wei</t>
  </si>
  <si>
    <t xml:space="preserve">UpsacleAI</t>
  </si>
  <si>
    <t xml:space="preserve">Super AI Hackathon</t>
  </si>
  <si>
    <t xml:space="preserve">Marina Bay Sands</t>
  </si>
  <si>
    <t xml:space="preserve">http://github.com/cheonglol/superai-next-hackathon-2025</t>
  </si>
  <si>
    <t xml:space="preserve">Bolt.New Hackathon 2025</t>
  </si>
  <si>
    <t xml:space="preserve">Virtual</t>
  </si>
  <si>
    <t xml:space="preserve">Jun 21, 2025</t>
  </si>
  <si>
    <t xml:space="preserve">AI consulting for SMEs (v2)</t>
  </si>
  <si>
    <t xml:space="preserve">UpsacleAI [Bolt Edition]</t>
  </si>
  <si>
    <t xml:space="preserve">bolt.new</t>
  </si>
  <si>
    <t xml:space="preserve">https://devpost.com/software/jslw-scaleupai-bolt-edition</t>
  </si>
  <si>
    <t xml:space="preserve">OOJU X Manus.AI Hackathon 2025</t>
  </si>
  <si>
    <t xml:space="preserve">Manus</t>
  </si>
  <si>
    <t xml:space="preserve">Jun 27, 2025</t>
  </si>
  <si>
    <t xml:space="preserve">2nd Prize (Manus Pro Subscription)</t>
  </si>
  <si>
    <t xml:space="preserve">Virtual Reality</t>
  </si>
  <si>
    <t xml:space="preserve">AI consulting for SMEs (VR edition)</t>
  </si>
  <si>
    <t xml:space="preserve">UpsacleAI [VR Edition]</t>
  </si>
  <si>
    <t xml:space="preserve">OOJU &amp; Manus.ai</t>
  </si>
  <si>
    <t xml:space="preserve">SQ Collective</t>
  </si>
  <si>
    <t xml:space="preserve">https://github.com/sayyidkhan/manus-im-hackathon</t>
  </si>
  <si>
    <t xml:space="preserve">2nd Prize</t>
  </si>
  <si>
    <t xml:space="preserve">Manus Pro subscription</t>
  </si>
  <si>
    <t xml:space="preserve">US$39 monthly value at award period</t>
  </si>
  <si>
    <t xml:space="preserve">2nd Place — Manus Pro Subscription (US$39/month each)</t>
  </si>
  <si>
    <t xml:space="preserve">Emergency GPT hackathon 2025</t>
  </si>
  <si>
    <t xml:space="preserve">The TGB Collective</t>
  </si>
  <si>
    <t xml:space="preserve">Aug 10, 2025</t>
  </si>
  <si>
    <t xml:space="preserve">chatgpt 6 nano</t>
  </si>
  <si>
    <t xml:space="preserve">sayyid, ivan</t>
  </si>
  <si>
    <t xml:space="preserve">chatgpt-6-nano</t>
  </si>
  <si>
    <t xml:space="preserve">https://github.com/sayyidkhan/gpt6-nano</t>
  </si>
  <si>
    <t xml:space="preserve">Sarawak AI Hackathon 2025</t>
  </si>
  <si>
    <t xml:space="preserve">Sarawak X Singapore</t>
  </si>
  <si>
    <t xml:space="preserve">Sep 6, 2025</t>
  </si>
  <si>
    <t xml:space="preserve">Novel Hackathon Finisher — Trophy</t>
  </si>
  <si>
    <t xml:space="preserve">Design</t>
  </si>
  <si>
    <t xml:space="preserve">Hisyam, Hafidz</t>
  </si>
  <si>
    <t xml:space="preserve">Singapore X Sarawak</t>
  </si>
  <si>
    <t xml:space="preserve">Sarawak</t>
  </si>
  <si>
    <t xml:space="preserve">Makeramai Makerspace, Kuching, Sarawak, Malaysia</t>
  </si>
  <si>
    <t xml:space="preserve">Novel Hackathon Finisher</t>
  </si>
  <si>
    <t xml:space="preserve">Trophy</t>
  </si>
  <si>
    <t xml:space="preserve">Trophy, not cash</t>
  </si>
  <si>
    <t xml:space="preserve">NAS.IO Hackathon 2025</t>
  </si>
  <si>
    <t xml:space="preserve">NAS.io</t>
  </si>
  <si>
    <t xml:space="preserve">Advertising</t>
  </si>
  <si>
    <t xml:space="preserve">Learn how to build a funnel using nas.io platform</t>
  </si>
  <si>
    <t xml:space="preserve">sayyid</t>
  </si>
  <si>
    <t xml:space="preserve">SMU</t>
  </si>
  <si>
    <t xml:space="preserve">https://github.com/sayyidkhan/prompt-alchemist-beta</t>
  </si>
  <si>
    <t xml:space="preserve">Nosana Hackathon 2025</t>
  </si>
  <si>
    <t xml:space="preserve">Nosana</t>
  </si>
  <si>
    <t xml:space="preserve">1st Prize, $500 Nosana Cloud Credit</t>
  </si>
  <si>
    <t xml:space="preserve">ML Inference</t>
  </si>
  <si>
    <t xml:space="preserve">Built a moon trading app, trade crypto according to moon cycles</t>
  </si>
  <si>
    <t xml:space="preserve">AstroDegen</t>
  </si>
  <si>
    <t xml:space="preserve">Monk Brew House</t>
  </si>
  <si>
    <t xml:space="preserve">https://github.com/sayyidkhan/nosana-ci-agent-challenge</t>
  </si>
  <si>
    <t xml:space="preserve">1st Prize</t>
  </si>
  <si>
    <t xml:space="preserve">Nosana Cloud credit</t>
  </si>
  <si>
    <t xml:space="preserve">Cloud credit, not cash</t>
  </si>
  <si>
    <t xml:space="preserve">1st Place — US$500 Nosana Cloud Credits</t>
  </si>
  <si>
    <t xml:space="preserve">Airia Hackathon 2025</t>
  </si>
  <si>
    <t xml:space="preserve">Airia</t>
  </si>
  <si>
    <t xml:space="preserve">Formula 1</t>
  </si>
  <si>
    <t xml:space="preserve">Built a formula 1 betting app</t>
  </si>
  <si>
    <t xml:space="preserve">F1 Degens</t>
  </si>
  <si>
    <t xml:space="preserve">Cursor Hackathon Singapore 2025</t>
  </si>
  <si>
    <t xml:space="preserve">Cursor</t>
  </si>
  <si>
    <t xml:space="preserve">Oct 18-19, 2025</t>
  </si>
  <si>
    <t xml:space="preserve">Vibe Trading App</t>
  </si>
  <si>
    <t xml:space="preserve">sayyid, hisyam, hafidz, shashi</t>
  </si>
  <si>
    <t xml:space="preserve">Vibewater Associates</t>
  </si>
  <si>
    <t xml:space="preserve">OpenAI, Antrohpic, convex, cursor, fal.ai</t>
  </si>
  <si>
    <t xml:space="preserve">https://github.com/sayyidkhan/vibewater_associates</t>
  </si>
  <si>
    <t xml:space="preserve">Cloudflare Hackathon 2025</t>
  </si>
  <si>
    <t xml:space="preserve">Cloudflare</t>
  </si>
  <si>
    <t xml:space="preserve">Vibe Coding Addiction Tool</t>
  </si>
  <si>
    <t xml:space="preserve">sayyid, cy, jun kai, ajentik</t>
  </si>
  <si>
    <t xml:space="preserve">Asterix</t>
  </si>
  <si>
    <t xml:space="preserve">Cloudflare &amp; Redis</t>
  </si>
  <si>
    <t xml:space="preserve">Cloudflare Office Singapore</t>
  </si>
  <si>
    <t xml:space="preserve">https://github.com/sayyidkhan/asterix</t>
  </si>
  <si>
    <t xml:space="preserve">Singhack Hackathon 2025</t>
  </si>
  <si>
    <t xml:space="preserve">Singhacks</t>
  </si>
  <si>
    <t xml:space="preserve">31Oct - 2 Nov, 2025</t>
  </si>
  <si>
    <t xml:space="preserve">Blockchain</t>
  </si>
  <si>
    <t xml:space="preserve">Agentic Ai ecosystem on hedera blockchain</t>
  </si>
  <si>
    <t xml:space="preserve">sayyid, shashi, brian, marcus</t>
  </si>
  <si>
    <t xml:space="preserve">Hedera Agents Hub</t>
  </si>
  <si>
    <t xml:space="preserve">Hedera</t>
  </si>
  <si>
    <t xml:space="preserve">catapult by capitaland</t>
  </si>
  <si>
    <t xml:space="preserve">https://github.com/sayyidkhan/HederaAgentsHub</t>
  </si>
  <si>
    <t xml:space="preserve">Lovable &amp; ANCHR 2025</t>
  </si>
  <si>
    <t xml:space="preserve">Lovable</t>
  </si>
  <si>
    <t xml:space="preserve">Nov 22-23, 2025 </t>
  </si>
  <si>
    <t xml:space="preserve">Tempeh shaped computer parts</t>
  </si>
  <si>
    <t xml:space="preserve">Natalie's Tempeh</t>
  </si>
  <si>
    <t xml:space="preserve">Remote</t>
  </si>
  <si>
    <t xml:space="preserve">https://github.com/sayyidkhan/nataliestempeh</t>
  </si>
  <si>
    <t xml:space="preserve">Gen AI Greeting Card Generator</t>
  </si>
  <si>
    <t xml:space="preserve">sayyid, Sofia Kung</t>
  </si>
  <si>
    <t xml:space="preserve">jollycard</t>
  </si>
  <si>
    <t xml:space="preserve">https://github.com/sayyidkhan/jollycards</t>
  </si>
  <si>
    <t xml:space="preserve">APAC’s First Art x Tech Hackathon</t>
  </si>
  <si>
    <t xml:space="preserve">Yee / Amanda / Elie / Joe / Jass</t>
  </si>
  <si>
    <t xml:space="preserve">24/1/2026</t>
  </si>
  <si>
    <t xml:space="preserve">Curated Theme: Touch Grass</t>
  </si>
  <si>
    <t xml:space="preserve">Stress Out, Bunny In: A gentle interactive space to stop working and start resting.</t>
  </si>
  <si>
    <t xml:space="preserve">sayyid,shashi,hisyam</t>
  </si>
  <si>
    <t xml:space="preserve">Stress Out,Bunny In</t>
  </si>
  <si>
    <t xml:space="preserve">Thoth AI, Airfoil, Elevenlabs, V0, Figma, OpenAI, Lovable, SMU</t>
  </si>
  <si>
    <t xml:space="preserve">SMU Connexion</t>
  </si>
  <si>
    <t xml:space="preserve">https://github.com/sayyidkhan/art-x-tech-hackathon-2026</t>
  </si>
  <si>
    <t xml:space="preserve">https://luma.com/186w8zoo?tk=Y3hTyJ</t>
  </si>
  <si>
    <t xml:space="preserve">Agentfield Hackathon 2026</t>
  </si>
  <si>
    <t xml:space="preserve">AI Builders</t>
  </si>
  <si>
    <t xml:space="preserve">1st Prize (OpenRouter Credits $1000 USD)</t>
  </si>
  <si>
    <t xml:space="preserve">Agentic AI</t>
  </si>
  <si>
    <t xml:space="preserve">MagiStock → Autonomous Portfolio Risk Governor</t>
  </si>
  <si>
    <t xml:space="preserve">sayyid,shashi,clement</t>
  </si>
  <si>
    <t xml:space="preserve">MagiStock</t>
  </si>
  <si>
    <t xml:space="preserve">Agentfield</t>
  </si>
  <si>
    <t xml:space="preserve">https://github.com/sayyidkhan/agentfields</t>
  </si>
  <si>
    <t xml:space="preserve">https://luma.com/afsghackathon</t>
  </si>
  <si>
    <t xml:space="preserve">OpenRouter credits</t>
  </si>
  <si>
    <t xml:space="preserve">API credits, not cash</t>
  </si>
  <si>
    <t xml:space="preserve">1st Place — US$1,000 OpenRouter Credits</t>
  </si>
  <si>
    <t xml:space="preserve">Build an Agentic AI to help you to determine to quit your job</t>
  </si>
  <si>
    <t xml:space="preserve">Should I Quit</t>
  </si>
  <si>
    <t xml:space="preserve">https://github.com/sayyidkhan/shouldIquit</t>
  </si>
  <si>
    <t xml:space="preserve">AgentForce Hackathon 2026</t>
  </si>
  <si>
    <t xml:space="preserve">28/2/2026</t>
  </si>
  <si>
    <t xml:space="preserve">1st Prize (API Credits $500 USD)</t>
  </si>
  <si>
    <t xml:space="preserve">Track 1: A multimodal AI application that generates complete LinkedIn launch packages</t>
  </si>
  <si>
    <t xml:space="preserve">AI LinkedIn Launch Studio</t>
  </si>
  <si>
    <t xml:space="preserve">WaveSpeed AI, Zeabur, Qoder, Insforge</t>
  </si>
  <si>
    <t xml:space="preserve">https://github.com/sayyidkhan/agent-forge-track1</t>
  </si>
  <si>
    <t xml:space="preserve">https://luma.com/sgaihackthon?tk=9KBC0q</t>
  </si>
  <si>
    <t xml:space="preserve">API credits</t>
  </si>
  <si>
    <t xml:space="preserve">1st Place — US$500 API Credits</t>
  </si>
  <si>
    <t xml:space="preserve">Track 2: Compares two public professional profiles in an anime-style 1vs1 battle.</t>
  </si>
  <si>
    <t xml:space="preserve">DevDuel Agent</t>
  </si>
  <si>
    <t xml:space="preserve">Bright Data, ActionBook, Acontext</t>
  </si>
  <si>
    <t xml:space="preserve">https://github.com/sayyidkhan/agent-forge-track2</t>
  </si>
  <si>
    <t xml:space="preserve">SUSS X Openclaw Hackathon 2026</t>
  </si>
  <si>
    <t xml:space="preserve">Singapore Opensourced Hub, Wavespeed AI, Minimax, Mem u</t>
  </si>
  <si>
    <t xml:space="preserve">13/3/2026</t>
  </si>
  <si>
    <t xml:space="preserve">1st Prize (Wavespeed AI Credits $150 USD)</t>
  </si>
  <si>
    <t xml:space="preserve">Events</t>
  </si>
  <si>
    <t xml:space="preserve">Gigradar - AI agents that discover and verify live events across the internet.</t>
  </si>
  <si>
    <t xml:space="preserve">sayyid,Clarence Chan,zhang cheng</t>
  </si>
  <si>
    <t xml:space="preserve">Gigradar</t>
  </si>
  <si>
    <t xml:space="preserve">SUSS</t>
  </si>
  <si>
    <t xml:space="preserve">https://luma.com/sourceawakening?tk=HdsoHg</t>
  </si>
  <si>
    <t xml:space="preserve">Wavespeed AI credits</t>
  </si>
  <si>
    <t xml:space="preserve">1st Place — US$150 Wavespeed AI Credits</t>
  </si>
  <si>
    <t xml:space="preserve">TinyFish SG Hackathon 2026</t>
  </si>
  <si>
    <t xml:space="preserve">TinyFish</t>
  </si>
  <si>
    <t xml:space="preserve">28/3/2026</t>
  </si>
  <si>
    <t xml:space="preserve">Buzo - Your AI Concierage for live events worldwide</t>
  </si>
  <si>
    <t xml:space="preserve">Buzo</t>
  </si>
  <si>
    <t xml:space="preserve">https://luma.com/4n1e9si9?tk=I1WSBi</t>
  </si>
  <si>
    <t xml:space="preserve">January Capital Hackathon SG 2026</t>
  </si>
  <si>
    <t xml:space="preserve">January Capital &amp; OpenAI</t>
  </si>
  <si>
    <t xml:space="preserve">Bryan Feedback Agent - An Agent that collects high quailty event feedback after an event</t>
  </si>
  <si>
    <t xml:space="preserve">sayyid/Clarence Chan</t>
  </si>
  <si>
    <t xml:space="preserve">Bryan Feedback Agent</t>
  </si>
  <si>
    <t xml:space="preserve">https://github.com/gigradarapp/gr-bryan-feedback-agent</t>
  </si>
  <si>
    <t xml:space="preserve">https://luma.com/wn9f2gta?tk=iqBwSL</t>
  </si>
  <si>
    <t xml:space="preserve">Agora.io Voice AI Hackathon Singapore 2026</t>
  </si>
  <si>
    <t xml:space="preserve">Agora.io</t>
  </si>
  <si>
    <t xml:space="preserve">3rd Prize: S$300 Cash and S$385 worth of API Credits</t>
  </si>
  <si>
    <t xml:space="preserve">Agentic AI (Voice), Healthcare</t>
  </si>
  <si>
    <t xml:space="preserve">Speak your symptoms. Get your MC. Skip the queue.</t>
  </si>
  <si>
    <t xml:space="preserve">Medivoice</t>
  </si>
  <si>
    <t xml:space="preserve">Carousell Campus (Regional HQ)</t>
  </si>
  <si>
    <t xml:space="preserve">https://github.com/sayyidkhan/agora-medihealth</t>
  </si>
  <si>
    <t xml:space="preserve">https://luma.com/89t0ejof?tk=jjk7Rp</t>
  </si>
  <si>
    <t xml:space="preserve">3rd Prize</t>
  </si>
  <si>
    <t xml:space="preserve">Explicit cash; API credit value also tracked</t>
  </si>
  <si>
    <t xml:space="preserve">3rd Place — S$300 Cash + S$385 API Credits</t>
  </si>
  <si>
    <t xml:space="preserve">MeDo Singapore Vibe Coding Hackathon 2026</t>
  </si>
  <si>
    <t xml:space="preserve">MeDo Singapore</t>
  </si>
  <si>
    <t xml:space="preserve">18/4/2026</t>
  </si>
  <si>
    <t xml:space="preserve">HackAtlas —Mapping the world’s top hackathon builders.</t>
  </si>
  <si>
    <t xml:space="preserve">sayyid,zhang cheng, elena xiao</t>
  </si>
  <si>
    <t xml:space="preserve">HackAtlas</t>
  </si>
  <si>
    <t xml:space="preserve">MeDo</t>
  </si>
  <si>
    <t xml:space="preserve">https://devpost.com/software/1248526/joins/rd1pZGiClia_sxEWA0RNJg</t>
  </si>
  <si>
    <t xml:space="preserve">https://luma.com/sgvibecodinghackathon?tk=vDly3i</t>
  </si>
  <si>
    <t xml:space="preserve">Temasek Hackathon 2026</t>
  </si>
  <si>
    <t xml:space="preserve">Temasek, Antrophic, Genspark</t>
  </si>
  <si>
    <t xml:space="preserve">24/4/2026</t>
  </si>
  <si>
    <t xml:space="preserve">Project Management</t>
  </si>
  <si>
    <t xml:space="preserve">AI that detects and fixes workflow bottlenecks</t>
  </si>
  <si>
    <t xml:space="preserve">sayyid,shashi,ryan foo</t>
  </si>
  <si>
    <t xml:space="preserve">Brain Org</t>
  </si>
  <si>
    <t xml:space="preserve">Temasek ShopHouse</t>
  </si>
  <si>
    <t xml:space="preserve">https://devfolio.co/projects/ontrack-ai-7d28</t>
  </si>
  <si>
    <t xml:space="preserve">https://push-to-prod.devfolio.co/overview</t>
  </si>
  <si>
    <t xml:space="preserve">Build Voice Agents with Speechmatics | TGB Buildathon 2026</t>
  </si>
  <si>
    <t xml:space="preserve">Speechmatics</t>
  </si>
  <si>
    <t xml:space="preserve">29/4/2026</t>
  </si>
  <si>
    <t xml:space="preserve">2K USD Speechmatics Credits</t>
  </si>
  <si>
    <t xml:space="preserve">Agentic AI (Voice)</t>
  </si>
  <si>
    <t xml:space="preserve">Build Voice Agents with Speechmatics | TGB Buildathon</t>
  </si>
  <si>
    <t xml:space="preserve">Guardian Agent</t>
  </si>
  <si>
    <t xml:space="preserve">SGInnovate</t>
  </si>
  <si>
    <t xml:space="preserve">https://github.com/sayyidkhan/guardian-agent</t>
  </si>
  <si>
    <t xml:space="preserve">https://luma.com/tgbspeechmatics1?tk=NaV6RE</t>
  </si>
  <si>
    <t xml:space="preserve">Speechmatics credits</t>
  </si>
  <si>
    <t xml:space="preserve">USD-denominated credit value</t>
  </si>
  <si>
    <t xml:space="preserve">Award — Speechmatics — US$2,000 Speechmatics Credits</t>
  </si>
  <si>
    <t xml:space="preserve">Vercel Zero to Agent: Singapore (1 Hr Hackathon) 2026</t>
  </si>
  <si>
    <t xml:space="preserve">v0, Vercel</t>
  </si>
  <si>
    <t xml:space="preserve">30/4/2026</t>
  </si>
  <si>
    <t xml:space="preserve">2nd Place — v0 Sock</t>
  </si>
  <si>
    <t xml:space="preserve">Game</t>
  </si>
  <si>
    <t xml:space="preserve">build the ultimate data center empire</t>
  </si>
  <si>
    <t xml:space="preserve">Data Center Tycoon [Web Only]</t>
  </si>
  <si>
    <t xml:space="preserve">https://luma.com/bh5iqhnx?tk=17u8ZH</t>
  </si>
  <si>
    <t xml:space="preserve">v0 Sock</t>
  </si>
  <si>
    <t xml:space="preserve">Physical item, not cash</t>
  </si>
  <si>
    <t xml:space="preserve">Emergency GPT hackathon 2026</t>
  </si>
  <si>
    <t xml:space="preserve">openai</t>
  </si>
  <si>
    <t xml:space="preserve">Hours</t>
  </si>
  <si>
    <t xml:space="preserve">Buzo (Ai Search) Feature - Personalised Event Searching</t>
  </si>
  <si>
    <t xml:space="preserve">Ask Buzo</t>
  </si>
  <si>
    <t xml:space="preserve">Open Sourced Café</t>
  </si>
  <si>
    <t xml:space="preserve">https://github.com/gigradarapp/gr-ask-buzo</t>
  </si>
  <si>
    <t xml:space="preserve">https://luma.com/zprbhtzy?tk=gMcrjt</t>
  </si>
  <si>
    <t xml:space="preserve">Vercel Zero to Agent: Global 2026</t>
  </si>
  <si>
    <t xml:space="preserve">build the ultimate data center empire (now mobile optimised)</t>
  </si>
  <si>
    <t xml:space="preserve">Data Center Tycoon [Web + Mobile Edition]</t>
  </si>
  <si>
    <t xml:space="preserve">https://github.com/sayyidkhan/v0-data-center-tycoon</t>
  </si>
  <si>
    <t xml:space="preserve">https://community.vercel.com/hackathons/zero-to-agent</t>
  </si>
  <si>
    <t xml:space="preserve">aie hackathon 2026</t>
  </si>
  <si>
    <t xml:space="preserve">65 labs</t>
  </si>
  <si>
    <t xml:space="preserve">build the ultimate data center destroyer</t>
  </si>
  <si>
    <t xml:space="preserve">sayyid,hisyam,jazli,hafidz</t>
  </si>
  <si>
    <t xml:space="preserve">Data Center Destroyer</t>
  </si>
  <si>
    <t xml:space="preserve">https://github.com/sayyidkhan/data-center-destroyer</t>
  </si>
  <si>
    <t xml:space="preserve">https://luma.com/aie-hack?tk=6ESqwa</t>
  </si>
  <si>
    <t xml:space="preserve">Ralphthon SG 2026</t>
  </si>
  <si>
    <t xml:space="preserve">SuperTeam SG,Hashed,Petani</t>
  </si>
  <si>
    <t xml:space="preserve">17/5/26</t>
  </si>
  <si>
    <t xml:space="preserve">Voice-first backend harness that turns spoken software ideas into structured Codex tasks, then coordinates a builder worker and streams progress back to the user.</t>
  </si>
  <si>
    <t xml:space="preserve">Mums Can Build</t>
  </si>
  <si>
    <t xml:space="preserve">Suntec Tower 1</t>
  </si>
  <si>
    <t xml:space="preserve">https://github.com/sayyidkhan/mums-can-build</t>
  </si>
  <si>
    <t xml:space="preserve">https://luma.com/4hx7p0vs?tk=ruRx4s</t>
  </si>
  <si>
    <t xml:space="preserve">UCWS 2026 (Semi-Finals)</t>
  </si>
  <si>
    <t xml:space="preserve">Epic Connector</t>
  </si>
  <si>
    <t xml:space="preserve">1/5/2026 - 30/5/2026</t>
  </si>
  <si>
    <t xml:space="preserve">Top 20, 10K USD OpenAI Credits, 2K USD Gemini Cloud Credits</t>
  </si>
  <si>
    <t xml:space="preserve">sayyid,Clarence Chan</t>
  </si>
  <si>
    <t xml:space="preserve">Buzo 2.0</t>
  </si>
  <si>
    <t xml:space="preserve">Top 20</t>
  </si>
  <si>
    <t xml:space="preserve">10K OpenAI credits; 2K Gemini Cloud credits</t>
  </si>
  <si>
    <t xml:space="preserve">Credit value total combines two USD-denominated credits</t>
  </si>
  <si>
    <t xml:space="preserve">Top 20 — US$12,000 Credits (OpenAI + Gemini Cloud)</t>
  </si>
  <si>
    <t xml:space="preserve">Super AI Hackathon 2026</t>
  </si>
  <si>
    <t xml:space="preserve">9/6/2026 - 11/6/2026</t>
  </si>
  <si>
    <t xml:space="preserve">Movie</t>
  </si>
  <si>
    <t xml:space="preserve">Agentic AI + VR - Talk to the movie characters</t>
  </si>
  <si>
    <t xml:space="preserve">sayyid,Mickael Martin Carapiet,Akdora Celepoglu</t>
  </si>
  <si>
    <t xml:space="preserve">SceneVerse AI </t>
  </si>
  <si>
    <t xml:space="preserve">SuperAI</t>
  </si>
  <si>
    <t xml:space="preserve">https://github.com/sayyidkhan/agentic-vr-frontend</t>
  </si>
  <si>
    <t xml:space="preserve">UCWS 2026 (Finals)</t>
  </si>
  <si>
    <t xml:space="preserve">13/6/2026</t>
  </si>
  <si>
    <t xml:space="preserve">Buzo 2.1</t>
  </si>
  <si>
    <t xml:space="preserve">8 George St, Pickering Operations Complex</t>
  </si>
  <si>
    <t xml:space="preserve">https://luma.com/UCWS2026?tk=y5h4YG</t>
  </si>
  <si>
    <t xml:space="preserve">Zo Computer Jun 2026 Build Challenge</t>
  </si>
  <si>
    <t xml:space="preserve">Zo Computer</t>
  </si>
  <si>
    <t xml:space="preserve">20 Jun - 21 Jun 2026</t>
  </si>
  <si>
    <t xml:space="preserve">productivity</t>
  </si>
  <si>
    <t xml:space="preserve">A lightweight storefront and payment-proof order tracker for small businesses, deployed on Zo Computer.</t>
  </si>
  <si>
    <t xml:space="preserve">sayyid,Hao Ming,Bruce Chua,aslam</t>
  </si>
  <si>
    <t xml:space="preserve">Zo Order Tracker</t>
  </si>
  <si>
    <t xml:space="preserve">US</t>
  </si>
  <si>
    <t xml:space="preserve">https://github.com/sayyidkhan/zo-order-tracker</t>
  </si>
  <si>
    <t xml:space="preserve">https://ambassador.zo.space/build-challenge</t>
  </si>
  <si>
    <t xml:space="preserve">Sup Build2026 Hackathon</t>
  </si>
  <si>
    <t xml:space="preserve">Sup</t>
  </si>
  <si>
    <t xml:space="preserve">27/6/2026</t>
  </si>
  <si>
    <t xml:space="preserve">Live career opportunity and relationship mapper powered by OpenAI and Exa</t>
  </si>
  <si>
    <t xml:space="preserve">zo relationship mapper</t>
  </si>
  <si>
    <t xml:space="preserve">https://github.com/sayyidkhan/zo-relationship-mapper</t>
  </si>
  <si>
    <t xml:space="preserve">https://luma.com/zda76sc1?tk=f30DS9</t>
  </si>
  <si>
    <t xml:space="preserve">BUIDL_OPC_Hackathon_SG</t>
  </si>
  <si>
    <t xml:space="preserve">amber.ac</t>
  </si>
  <si>
    <t xml:space="preserve">Top 30 — US$4,500 AWS Credits</t>
  </si>
  <si>
    <t xml:space="preserve">kingdom of pal: 7 dwarfs and a shiekh, a tool to help maange one person community biz</t>
  </si>
  <si>
    <t xml:space="preserve">sayyid,Bruce Chua</t>
  </si>
  <si>
    <t xml:space="preserve">Kingdom Of PAL</t>
  </si>
  <si>
    <t xml:space="preserve">https://luma.com/r6v3evdi?tk=BuCFqn</t>
  </si>
  <si>
    <t xml:space="preserve">Top 30</t>
  </si>
  <si>
    <t xml:space="preserve">AWS credits</t>
  </si>
  <si>
    <t xml:space="preserve">Whackathon 2026</t>
  </si>
  <si>
    <t xml:space="preserve">Folly</t>
  </si>
  <si>
    <t xml:space="preserve">18/7/2026</t>
  </si>
  <si>
    <t xml:space="preserve">An adventure game where an alien is trying to find its way home, each map is ai rendered</t>
  </si>
  <si>
    <t xml:space="preserve">Alien Homecoming</t>
  </si>
  <si>
    <t xml:space="preserve">Terra Loft</t>
  </si>
  <si>
    <t xml:space="preserve">https://github.com/sayyidkhan/alien-homecoming</t>
  </si>
  <si>
    <t xml:space="preserve">https://luma.com/68nouvl9?tk=yuORah</t>
  </si>
  <si>
    <t xml:space="preserve">Zo Computer Jul 2026 Build Challenge (Kill your SaaS)</t>
  </si>
  <si>
    <t xml:space="preserve">15 Jul - 25 Jul 2026</t>
  </si>
  <si>
    <t xml:space="preserve">Infra</t>
  </si>
  <si>
    <t xml:space="preserve">clone google drive together with other commonly used infra features</t>
  </si>
  <si>
    <t xml:space="preserve">Zo Drive</t>
  </si>
  <si>
    <t xml:space="preserve">https://github.com/sayyidkhan/zo-drive</t>
  </si>
  <si>
    <t xml:space="preserve">Google Buildathon 2026 (Theme: The Cooperate Telepath)</t>
  </si>
  <si>
    <t xml:space="preserve">Google</t>
  </si>
  <si>
    <t xml:space="preserve">Translating stakeholder dreams into user reality. A multi-agent feature stress-tester powered by Google ADK and Gemini.</t>
  </si>
  <si>
    <t xml:space="preserve">The Cooperate Telepath</t>
  </si>
  <si>
    <t xml:space="preserve">https://github.com/sayyidkhan/the-corporate-telepath</t>
  </si>
  <si>
    <t xml:space="preserve">One AI Hackathon 2026</t>
  </si>
  <si>
    <t xml:space="preserve">CybrDeck</t>
  </si>
  <si>
    <t xml:space="preserve">15/08/2026</t>
  </si>
  <si>
    <t xml:space="preserve">Best Vertical Solution (Family Office Track), 2,000 Cybrdeck API credits (worth US$25)</t>
  </si>
  <si>
    <t xml:space="preserve">Family Office</t>
  </si>
  <si>
    <t xml:space="preserve">An Agentic Family Office for the nightlife and culture economy</t>
  </si>
  <si>
    <t xml:space="preserve">sayyid, clarence</t>
  </si>
  <si>
    <t xml:space="preserve">Buzo Atlas</t>
  </si>
  <si>
    <t xml:space="preserve">Kent Ridge, Block 71</t>
  </si>
  <si>
    <t xml:space="preserve">https://github.com/gigradarapp/gr-atlas</t>
  </si>
  <si>
    <t xml:space="preserve">https://luma.com/e9h4kv5k?tk=lzXXdx</t>
  </si>
  <si>
    <t xml:space="preserve">Best Vertical Solution: Family Office Track</t>
  </si>
  <si>
    <t xml:space="preserve">2,000 Cybrdeck API credits</t>
  </si>
  <si>
    <t xml:space="preserve">US$25 credit value, not cash</t>
  </si>
  <si>
    <t xml:space="preserve">Best Project — Best Vertical Solution: Family Office Track — 2,000 Cybrdeck API Credits Each (US$25 value)</t>
  </si>
  <si>
    <t xml:space="preserve">Build with Gemini Hackathon 2026</t>
  </si>
  <si>
    <t xml:space="preserve">65labs, Google, Lorong AI</t>
  </si>
  <si>
    <t xml:space="preserve">22/08/2026</t>
  </si>
  <si>
    <t xml:space="preserve">Embedded Models</t>
  </si>
  <si>
    <t xml:space="preserve">A local-first city-management game where players govern Innovation City with Gemma as an on-device chief of staff for incident triage, guardrails, and scenario stress-testing.</t>
  </si>
  <si>
    <t xml:space="preserve">Agrim Tycoon</t>
  </si>
  <si>
    <t xml:space="preserve">Google DeepMind</t>
  </si>
  <si>
    <t xml:space="preserve">Lorong AI @ One-North</t>
  </si>
  <si>
    <t xml:space="preserve">https://github.com/sayyidkhan/agrim-tycoon</t>
  </si>
  <si>
    <t xml:space="preserve">https://luma.com/deepmind-v4ci?tk=LBgGrm</t>
  </si>
  <si>
    <t xml:space="preserve">Zo Build Challenge</t>
  </si>
  <si>
    <t xml:space="preserve">1st Aug - 31st Aug 2026</t>
  </si>
  <si>
    <t xml:space="preserve">Build for Someone Else</t>
  </si>
  <si>
    <t xml:space="preserve">A personal memory experience built for someone else.</t>
  </si>
  <si>
    <t xml:space="preserve">Zo Memories</t>
  </si>
  <si>
    <t xml:space="preserve">https://github.com/sayyidkhan/zo-memories</t>
  </si>
  <si>
    <t xml:space="preserve">ChatGPT Sites Hackathon</t>
  </si>
  <si>
    <t xml:space="preserve">OpenAI, Gabriel Chua, Brian Chew, Zane Chee, Sherry Jiang</t>
  </si>
  <si>
    <t xml:space="preserve">02/09/2026</t>
  </si>
  <si>
    <t xml:space="preserve">ChatGPT Sites</t>
  </si>
  <si>
    <t xml:space="preserve">PeterIndex is a relationship-intelligence tool that remembers people, context, and loose threads, then surfaces warm paths to the next opportunity.</t>
  </si>
  <si>
    <t xml:space="preserve">sayyid, han</t>
  </si>
  <si>
    <t xml:space="preserve">PeterIndex</t>
  </si>
  <si>
    <t xml:space="preserve">OpenAI</t>
  </si>
  <si>
    <t xml:space="preserve">https://github.com/sayyidkhan/peterindex</t>
  </si>
  <si>
    <t xml:space="preserve">https://luma.com/yqq0zo50?tk=kakZ3u</t>
  </si>
  <si>
    <t xml:space="preserve">SG × SWK Friendship AI Business Design Hackathon</t>
  </si>
  <si>
    <t xml:space="preserve">Azam Sarawak, ANCHR AI Labs</t>
  </si>
  <si>
    <t xml:space="preserve">3 Sep 2026</t>
  </si>
  <si>
    <t xml:space="preserve">Trophy, First Runner Up, SG × Sarawak AI &amp; Design Hackathon 2026, 200 USD Kimi AI credits</t>
  </si>
  <si>
    <t xml:space="preserve">Micro Business</t>
  </si>
  <si>
    <t xml:space="preserve">A bilingual digital visitor experience for Long Taa, a Sebup longhouse village in Sarawak, with trip planning and a Kimi-powered visitor assistant.</t>
  </si>
  <si>
    <t xml:space="preserve">sayyid, Hao Ming, Bruce</t>
  </si>
  <si>
    <t xml:space="preserve">Long Taa Borneo Eco Stay</t>
  </si>
  <si>
    <t xml:space="preserve">Longtaa Borneo</t>
  </si>
  <si>
    <t xml:space="preserve">Malaysia</t>
  </si>
  <si>
    <t xml:space="preserve">Affin Bank Hikmah Exchange, Kuching, Sarawak</t>
  </si>
  <si>
    <t xml:space="preserve">https://github.com/sayyidkhan/longtaaborneo</t>
  </si>
  <si>
    <t xml:space="preserve">https://luma.com/n0zkb5w0?tk=OBDQgW</t>
  </si>
  <si>
    <t xml:space="preserve">First Runner-Up</t>
  </si>
  <si>
    <t xml:space="preserve">SG × Sarawak AI &amp; Design Hackathon 2026</t>
  </si>
  <si>
    <t xml:space="preserve">Trophy; Kimi AI credits</t>
  </si>
  <si>
    <t xml:space="preserve">Trophy excluded; credit value tracked</t>
  </si>
  <si>
    <t xml:space="preserve">First Runner-Up — SG × Sarawak AI &amp; Design Hackathon — US$200 Kimi AI Credits + Trophy</t>
  </si>
  <si>
    <t xml:space="preserve">GPT-6 Astra Hackathon: Singapore</t>
  </si>
  <si>
    <t xml:space="preserve">OpenAI, Gabriel Chua, Zane Chee, Brian Chew, Sherry Jiang</t>
  </si>
  <si>
    <t xml:space="preserve">13 Sep 2026</t>
  </si>
  <si>
    <t xml:space="preserve">Best use of GPT-Image-2.5, 5,000 USD OpenAI credits</t>
  </si>
  <si>
    <t xml:space="preserve">Explore a real 3D city with a flying crow, then generate AI travel scenes of yourself at your destination.</t>
  </si>
  <si>
    <t xml:space="preserve">sayyid, Clement Lork</t>
  </si>
  <si>
    <t xml:space="preserve">Itachi's Crow</t>
  </si>
  <si>
    <t xml:space="preserve">https://github.com/sayyidkhan/itachiscrow</t>
  </si>
  <si>
    <t xml:space="preserve">https://luma.com/fdzbrq5b?tk=QX3FM2</t>
  </si>
  <si>
    <t xml:space="preserve">Best Use of GPT-Image-2.5</t>
  </si>
  <si>
    <t xml:space="preserve">OpenAI credits</t>
  </si>
  <si>
    <t xml:space="preserve">Credit value tracked</t>
  </si>
  <si>
    <t xml:space="preserve">Best Project — Best Use of GPT-Image-2.5 — US$5,000 OpenAI Credits Each</t>
  </si>
  <si>
    <t xml:space="preserve">Anti-Drug Jam 2026</t>
  </si>
  <si>
    <t xml:space="preserve">SCOGA, Esports Academy, National Council Against Drug Abuse (NCADA)</t>
  </si>
  <si>
    <t xml:space="preserve">19 Sep 2026</t>
  </si>
  <si>
    <t xml:space="preserve">Anti Drugs</t>
  </si>
  <si>
    <t xml:space="preserve">An illustrated storybook adventure where you sketch solutions to help Bob navigate peer pressure and find his safe way home.</t>
  </si>
  <si>
    <t xml:space="preserve">The Next 8 Seconds: Draw Your Way Home</t>
  </si>
  <si>
    <t xml:space="preserve">SCOGA × NCADA</t>
  </si>
  <si>
    <t xml:space="preserve">*SCAPE Ground Theatre</t>
  </si>
  <si>
    <t xml:space="preserve">https://github.com/sayyidkhan/8-mins</t>
  </si>
  <si>
    <t xml:space="preserve">https://scoga-anti-drug-jam-2026.ai.studio/</t>
  </si>
  <si>
    <t xml:space="preserve">People &amp; LinkedIn Directory</t>
  </si>
  <si>
    <t xml:space="preserve">One person per row. LinkedIn URLs are added only after the profile has been verified against the hackathon context.</t>
  </si>
  <si>
    <t xml:space="preserve">Person ID</t>
  </si>
  <si>
    <t xml:space="preserve">Name</t>
  </si>
  <si>
    <t xml:space="preserve">Hackathon #s</t>
  </si>
  <si>
    <t xml:space="preserve">Builds Together</t>
  </si>
  <si>
    <t xml:space="preserve">LinkedIn URL</t>
  </si>
  <si>
    <t xml:space="preserve">P001</t>
  </si>
  <si>
    <t xml:space="preserve">Aaron Gong</t>
  </si>
  <si>
    <t xml:space="preserve">#004, #006</t>
  </si>
  <si>
    <t xml:space="preserve">https://www.linkedin.com/in/aaronjxz/</t>
  </si>
  <si>
    <t xml:space="preserve">P002</t>
  </si>
  <si>
    <t xml:space="preserve">Adib Yusof</t>
  </si>
  <si>
    <t xml:space="preserve">#035</t>
  </si>
  <si>
    <t xml:space="preserve">https://www.linkedin.com/in/adibyusof/</t>
  </si>
  <si>
    <t xml:space="preserve">P003</t>
  </si>
  <si>
    <t xml:space="preserve">ajentik</t>
  </si>
  <si>
    <t xml:space="preserve">#045</t>
  </si>
  <si>
    <t xml:space="preserve">P004</t>
  </si>
  <si>
    <t xml:space="preserve">Akdora Celepoglu</t>
  </si>
  <si>
    <t xml:space="preserve">#067</t>
  </si>
  <si>
    <t xml:space="preserve">https://www.linkedin.com/in/-akdora/</t>
  </si>
  <si>
    <t xml:space="preserve">P005</t>
  </si>
  <si>
    <t xml:space="preserve">Ali Marzuki</t>
  </si>
  <si>
    <t xml:space="preserve">https://www.linkedin.com/in/ali-marzuki-48266542/</t>
  </si>
  <si>
    <t xml:space="preserve">P006</t>
  </si>
  <si>
    <t xml:space="preserve">Ann</t>
  </si>
  <si>
    <t xml:space="preserve">#007</t>
  </si>
  <si>
    <t xml:space="preserve">P007</t>
  </si>
  <si>
    <t xml:space="preserve">Anna Tantushyan</t>
  </si>
  <si>
    <t xml:space="preserve">#009</t>
  </si>
  <si>
    <t xml:space="preserve">https://www.linkedin.com/in/annatantushyan/</t>
  </si>
  <si>
    <t xml:space="preserve">P008</t>
  </si>
  <si>
    <t xml:space="preserve">Arav Behl</t>
  </si>
  <si>
    <t xml:space="preserve">#034</t>
  </si>
  <si>
    <t xml:space="preserve">https://www.linkedin.com/in/arav-behl/</t>
  </si>
  <si>
    <t xml:space="preserve">P009</t>
  </si>
  <si>
    <t xml:space="preserve">Arthur</t>
  </si>
  <si>
    <t xml:space="preserve">#026</t>
  </si>
  <si>
    <t xml:space="preserve">P010</t>
  </si>
  <si>
    <t xml:space="preserve">Aseem Wangoo</t>
  </si>
  <si>
    <t xml:space="preserve">https://www.linkedin.com/in/aseemwangoo/</t>
  </si>
  <si>
    <t xml:space="preserve">P011</t>
  </si>
  <si>
    <t xml:space="preserve">Ashraf</t>
  </si>
  <si>
    <t xml:space="preserve">#027</t>
  </si>
  <si>
    <t xml:space="preserve">P012</t>
  </si>
  <si>
    <t xml:space="preserve">aslam</t>
  </si>
  <si>
    <t xml:space="preserve">#069</t>
  </si>
  <si>
    <t xml:space="preserve">https://www.linkedin.com/in/mohamed-aslam-abdul/</t>
  </si>
  <si>
    <t xml:space="preserve">P013</t>
  </si>
  <si>
    <t xml:space="preserve">Balint</t>
  </si>
  <si>
    <t xml:space="preserve">#019</t>
  </si>
  <si>
    <t xml:space="preserve">P014</t>
  </si>
  <si>
    <t xml:space="preserve">Benjamin Chong</t>
  </si>
  <si>
    <t xml:space="preserve">#018</t>
  </si>
  <si>
    <t xml:space="preserve">https://www.linkedin.com/in/chongmunhou/</t>
  </si>
  <si>
    <t xml:space="preserve">P015</t>
  </si>
  <si>
    <t xml:space="preserve">Bobby Lim</t>
  </si>
  <si>
    <t xml:space="preserve">#016, #028</t>
  </si>
  <si>
    <t xml:space="preserve">https://www.linkedin.com/in/bobbylim93/</t>
  </si>
  <si>
    <t xml:space="preserve">P016</t>
  </si>
  <si>
    <t xml:space="preserve">brian</t>
  </si>
  <si>
    <t xml:space="preserve">#046</t>
  </si>
  <si>
    <t xml:space="preserve">P017</t>
  </si>
  <si>
    <t xml:space="preserve">Bruce Chua</t>
  </si>
  <si>
    <t xml:space="preserve">#069, #071, #079</t>
  </si>
  <si>
    <t xml:space="preserve">https://www.linkedin.com/in/bruce-chua-28832a414/</t>
  </si>
  <si>
    <t xml:space="preserve">P018</t>
  </si>
  <si>
    <t xml:space="preserve">Celine Lim</t>
  </si>
  <si>
    <t xml:space="preserve">#008</t>
  </si>
  <si>
    <t xml:space="preserve">P019</t>
  </si>
  <si>
    <t xml:space="preserve">Cheryl</t>
  </si>
  <si>
    <t xml:space="preserve">#001</t>
  </si>
  <si>
    <t xml:space="preserve">P020</t>
  </si>
  <si>
    <t xml:space="preserve">Clarence Chan</t>
  </si>
  <si>
    <t xml:space="preserve">#054, #055, #056, #062, #066, #068, #075</t>
  </si>
  <si>
    <t xml:space="preserve">https://www.linkedin.com/in/clarencechanxy/</t>
  </si>
  <si>
    <t xml:space="preserve">P021</t>
  </si>
  <si>
    <t xml:space="preserve">Clement Lork</t>
  </si>
  <si>
    <t xml:space="preserve">#050, #051, #080</t>
  </si>
  <si>
    <t xml:space="preserve">https://www.linkedin.com/in/clement-lork/</t>
  </si>
  <si>
    <t xml:space="preserve">P022</t>
  </si>
  <si>
    <t xml:space="preserve">cy</t>
  </si>
  <si>
    <t xml:space="preserve">P023</t>
  </si>
  <si>
    <t xml:space="preserve">Daryll</t>
  </si>
  <si>
    <t xml:space="preserve">#012</t>
  </si>
  <si>
    <t xml:space="preserve">P024</t>
  </si>
  <si>
    <t xml:space="preserve">David 01-02</t>
  </si>
  <si>
    <t xml:space="preserve">#001, #002</t>
  </si>
  <si>
    <t xml:space="preserve">P025</t>
  </si>
  <si>
    <t xml:space="preserve">David 21-23-24-25</t>
  </si>
  <si>
    <t xml:space="preserve">#021, #023, #024, #025</t>
  </si>
  <si>
    <t xml:space="preserve">P026</t>
  </si>
  <si>
    <t xml:space="preserve">Edward</t>
  </si>
  <si>
    <t xml:space="preserve">P027</t>
  </si>
  <si>
    <t xml:space="preserve">Eileen Chua</t>
  </si>
  <si>
    <t xml:space="preserve">https://www.linkedin.com/in/eileenchua926/</t>
  </si>
  <si>
    <t xml:space="preserve">P028</t>
  </si>
  <si>
    <t xml:space="preserve">elena xiao</t>
  </si>
  <si>
    <t xml:space="preserve">#058</t>
  </si>
  <si>
    <t xml:space="preserve">https://www.linkedin.com/in/xiao-elena/</t>
  </si>
  <si>
    <t xml:space="preserve">P029</t>
  </si>
  <si>
    <t xml:space="preserve">Eric</t>
  </si>
  <si>
    <t xml:space="preserve">P030</t>
  </si>
  <si>
    <t xml:space="preserve">Evan</t>
  </si>
  <si>
    <t xml:space="preserve">#020</t>
  </si>
  <si>
    <t xml:space="preserve">P031</t>
  </si>
  <si>
    <t xml:space="preserve">Gaille Teo</t>
  </si>
  <si>
    <t xml:space="preserve">#003</t>
  </si>
  <si>
    <t xml:space="preserve">https://www.linkedin.com/in/gaille-teo/</t>
  </si>
  <si>
    <t xml:space="preserve">P032</t>
  </si>
  <si>
    <t xml:space="preserve">Gayan Wiharagoda</t>
  </si>
  <si>
    <t xml:space="preserve">#006</t>
  </si>
  <si>
    <t xml:space="preserve">https://www.linkedin.com/in/gayanwiharagoda/</t>
  </si>
  <si>
    <t xml:space="preserve">P033</t>
  </si>
  <si>
    <t xml:space="preserve">Gene</t>
  </si>
  <si>
    <t xml:space="preserve">#010</t>
  </si>
  <si>
    <t xml:space="preserve">P034</t>
  </si>
  <si>
    <t xml:space="preserve">Gia</t>
  </si>
  <si>
    <t xml:space="preserve">P035</t>
  </si>
  <si>
    <t xml:space="preserve">Hafidz</t>
  </si>
  <si>
    <t xml:space="preserve">#040, #044, #064</t>
  </si>
  <si>
    <t xml:space="preserve">P036</t>
  </si>
  <si>
    <t xml:space="preserve">Hakam</t>
  </si>
  <si>
    <t xml:space="preserve">#031</t>
  </si>
  <si>
    <t xml:space="preserve">https://www.linkedin.com/in/abdul-hakam-bin-nor-razak-nus/</t>
  </si>
  <si>
    <t xml:space="preserve">P037</t>
  </si>
  <si>
    <t xml:space="preserve">Hakim</t>
  </si>
  <si>
    <t xml:space="preserve">https://www.linkedin.com/in/akmal-hakim-teo/</t>
  </si>
  <si>
    <t xml:space="preserve">P038</t>
  </si>
  <si>
    <t xml:space="preserve">Haley</t>
  </si>
  <si>
    <t xml:space="preserve">#030</t>
  </si>
  <si>
    <t xml:space="preserve">P039</t>
  </si>
  <si>
    <t xml:space="preserve">Hao Ming</t>
  </si>
  <si>
    <t xml:space="preserve">#069, #079</t>
  </si>
  <si>
    <t xml:space="preserve">P040</t>
  </si>
  <si>
    <t xml:space="preserve">Hazni</t>
  </si>
  <si>
    <t xml:space="preserve">https://www.linkedin.com/in/hazniaris/</t>
  </si>
  <si>
    <t xml:space="preserve">P041</t>
  </si>
  <si>
    <t xml:space="preserve">Hendry</t>
  </si>
  <si>
    <t xml:space="preserve">#011</t>
  </si>
  <si>
    <t xml:space="preserve">P042</t>
  </si>
  <si>
    <t xml:space="preserve">Heng Pei</t>
  </si>
  <si>
    <t xml:space="preserve">P043</t>
  </si>
  <si>
    <t xml:space="preserve">Hilsann Yong</t>
  </si>
  <si>
    <t xml:space="preserve">https://www.linkedin.com/in/hilsannyong/</t>
  </si>
  <si>
    <t xml:space="preserve">P044</t>
  </si>
  <si>
    <t xml:space="preserve">Hisyam</t>
  </si>
  <si>
    <t xml:space="preserve">#040, #044, #049, #052, #053, #064</t>
  </si>
  <si>
    <t xml:space="preserve">https://www.linkedin.com/in/hisyamj/</t>
  </si>
  <si>
    <t xml:space="preserve">P045</t>
  </si>
  <si>
    <t xml:space="preserve">Hong Wei</t>
  </si>
  <si>
    <t xml:space="preserve">#014</t>
  </si>
  <si>
    <t xml:space="preserve">P046</t>
  </si>
  <si>
    <t xml:space="preserve">Ilas</t>
  </si>
  <si>
    <t xml:space="preserve">P047</t>
  </si>
  <si>
    <t xml:space="preserve">Iskandar Zulkarnain</t>
  </si>
  <si>
    <t xml:space="preserve">#031, #032</t>
  </si>
  <si>
    <t xml:space="preserve">https://www.linkedin.com/in/is-z23/</t>
  </si>
  <si>
    <t xml:space="preserve">P048</t>
  </si>
  <si>
    <t xml:space="preserve">ivan</t>
  </si>
  <si>
    <t xml:space="preserve">#039</t>
  </si>
  <si>
    <t xml:space="preserve">https://www.linkedin.com/in/ivan-hong-24a83315a/</t>
  </si>
  <si>
    <t xml:space="preserve">P049</t>
  </si>
  <si>
    <t xml:space="preserve">Jason Choo Yan Sheng</t>
  </si>
  <si>
    <t xml:space="preserve">#015, #020, #027, #028</t>
  </si>
  <si>
    <t xml:space="preserve">https://www.linkedin.com/in/chooyansheng/</t>
  </si>
  <si>
    <t xml:space="preserve">P050</t>
  </si>
  <si>
    <t xml:space="preserve">Jay</t>
  </si>
  <si>
    <t xml:space="preserve">#017</t>
  </si>
  <si>
    <t xml:space="preserve">P051</t>
  </si>
  <si>
    <t xml:space="preserve">jazli</t>
  </si>
  <si>
    <t xml:space="preserve">#064</t>
  </si>
  <si>
    <t xml:space="preserve">https://www.linkedin.com/in/ahmad-jazli/</t>
  </si>
  <si>
    <t xml:space="preserve">P052</t>
  </si>
  <si>
    <t xml:space="preserve">Jet New</t>
  </si>
  <si>
    <t xml:space="preserve">#013</t>
  </si>
  <si>
    <t xml:space="preserve">https://www.linkedin.com/in/jetnew/</t>
  </si>
  <si>
    <t xml:space="preserve">P053</t>
  </si>
  <si>
    <t xml:space="preserve">Jimmy Peh</t>
  </si>
  <si>
    <t xml:space="preserve">#033</t>
  </si>
  <si>
    <t xml:space="preserve">https://www.linkedin.com/in/jimmy-peh-95202251/</t>
  </si>
  <si>
    <t xml:space="preserve">P054</t>
  </si>
  <si>
    <t xml:space="preserve">Joewin Tan</t>
  </si>
  <si>
    <t xml:space="preserve">#036, #037, #038</t>
  </si>
  <si>
    <t xml:space="preserve">https://www.linkedin.com/in/joewin-tan-speaker-and-business-owner/</t>
  </si>
  <si>
    <t xml:space="preserve">P055</t>
  </si>
  <si>
    <t xml:space="preserve">jun kai</t>
  </si>
  <si>
    <t xml:space="preserve">P056</t>
  </si>
  <si>
    <t xml:space="preserve">Jun Ting</t>
  </si>
  <si>
    <t xml:space="preserve">P057</t>
  </si>
  <si>
    <t xml:space="preserve">Kamil</t>
  </si>
  <si>
    <t xml:space="preserve">P058</t>
  </si>
  <si>
    <t xml:space="preserve">Kang Liang Koh</t>
  </si>
  <si>
    <t xml:space="preserve">https://www.linkedin.com/in/klkoh/</t>
  </si>
  <si>
    <t xml:space="preserve">P059</t>
  </si>
  <si>
    <t xml:space="preserve">Kashif</t>
  </si>
  <si>
    <t xml:space="preserve">P060</t>
  </si>
  <si>
    <t xml:space="preserve">Kenneth</t>
  </si>
  <si>
    <t xml:space="preserve">#024</t>
  </si>
  <si>
    <t xml:space="preserve">P061</t>
  </si>
  <si>
    <t xml:space="preserve">Kyren</t>
  </si>
  <si>
    <t xml:space="preserve">#023</t>
  </si>
  <si>
    <t xml:space="preserve">P062</t>
  </si>
  <si>
    <t xml:space="preserve">Leon</t>
  </si>
  <si>
    <t xml:space="preserve">P063</t>
  </si>
  <si>
    <t xml:space="preserve">Lester Cheong</t>
  </si>
  <si>
    <t xml:space="preserve">https://www.linkedin.com/in/lester-cheong-a29a4a209/</t>
  </si>
  <si>
    <t xml:space="preserve">P064</t>
  </si>
  <si>
    <t xml:space="preserve">Lucas Grey</t>
  </si>
  <si>
    <t xml:space="preserve">https://www.linkedin.com/in/lucasgrey/</t>
  </si>
  <si>
    <t xml:space="preserve">P065</t>
  </si>
  <si>
    <t xml:space="preserve">Manas</t>
  </si>
  <si>
    <t xml:space="preserve">P066</t>
  </si>
  <si>
    <t xml:space="preserve">marcus</t>
  </si>
  <si>
    <t xml:space="preserve">P067</t>
  </si>
  <si>
    <t xml:space="preserve">Mathilde Gaucher</t>
  </si>
  <si>
    <t xml:space="preserve">#005</t>
  </si>
  <si>
    <t xml:space="preserve">P068</t>
  </si>
  <si>
    <t xml:space="preserve">Matthew Tan</t>
  </si>
  <si>
    <t xml:space="preserve">#012, #017, #021, #023, #024, #025, #029</t>
  </si>
  <si>
    <t xml:space="preserve">https://www.linkedin.com/in/tthmatt/</t>
  </si>
  <si>
    <t xml:space="preserve">P069</t>
  </si>
  <si>
    <t xml:space="preserve">Maureen</t>
  </si>
  <si>
    <t xml:space="preserve">#028</t>
  </si>
  <si>
    <t xml:space="preserve">https://www.linkedin.com/in/maureen-tan/</t>
  </si>
  <si>
    <t xml:space="preserve">P070</t>
  </si>
  <si>
    <t xml:space="preserve">Mickael Martin Carapiet</t>
  </si>
  <si>
    <t xml:space="preserve">https://www.linkedin.com/in/mickaelcarapiet/</t>
  </si>
  <si>
    <t xml:space="preserve">P071</t>
  </si>
  <si>
    <t xml:space="preserve">Mortiz</t>
  </si>
  <si>
    <t xml:space="preserve">P072</t>
  </si>
  <si>
    <t xml:space="preserve">Nicholas Ling</t>
  </si>
  <si>
    <t xml:space="preserve">https://www.linkedin.com/in/nicholas-ling/</t>
  </si>
  <si>
    <t xml:space="preserve">P073</t>
  </si>
  <si>
    <t xml:space="preserve">Raimie Tang</t>
  </si>
  <si>
    <t xml:space="preserve">https://www.linkedin.com/in/raimie-tang/</t>
  </si>
  <si>
    <t xml:space="preserve">P074</t>
  </si>
  <si>
    <t xml:space="preserve">Roger</t>
  </si>
  <si>
    <t xml:space="preserve">https://www.linkedin.com/in/rogerdo/</t>
  </si>
  <si>
    <t xml:space="preserve">P075</t>
  </si>
  <si>
    <t xml:space="preserve">Ryan</t>
  </si>
  <si>
    <t xml:space="preserve">P076</t>
  </si>
  <si>
    <t xml:space="preserve">ryan foo</t>
  </si>
  <si>
    <t xml:space="preserve">#059</t>
  </si>
  <si>
    <t xml:space="preserve">https://www.linkedin.com/in/foo-ryan/</t>
  </si>
  <si>
    <t xml:space="preserve">P077</t>
  </si>
  <si>
    <t xml:space="preserve"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#073, #074, #075, #076, #077, #078, #079, #080, #081</t>
  </si>
  <si>
    <t xml:space="preserve">https://www.linkedin.com/in/sayyidkhan92/</t>
  </si>
  <si>
    <t xml:space="preserve">P078</t>
  </si>
  <si>
    <t xml:space="preserve">shashi</t>
  </si>
  <si>
    <t xml:space="preserve">#044, #046, #049, #050, #051, #052, #053, #059</t>
  </si>
  <si>
    <t xml:space="preserve">https://www.linkedin.com/in/shashiguru-keluth-765129154/</t>
  </si>
  <si>
    <t xml:space="preserve">P079</t>
  </si>
  <si>
    <t xml:space="preserve">Shi Yang</t>
  </si>
  <si>
    <t xml:space="preserve">P080</t>
  </si>
  <si>
    <t xml:space="preserve">Sin Mei Chong</t>
  </si>
  <si>
    <t xml:space="preserve">#029</t>
  </si>
  <si>
    <t xml:space="preserve">P081</t>
  </si>
  <si>
    <t xml:space="preserve">Singaram</t>
  </si>
  <si>
    <t xml:space="preserve">https://www.linkedin.com/in/r-singaram-047415b0/</t>
  </si>
  <si>
    <t xml:space="preserve">P082</t>
  </si>
  <si>
    <t xml:space="preserve">Sofia Kung</t>
  </si>
  <si>
    <t xml:space="preserve">#048</t>
  </si>
  <si>
    <t xml:space="preserve">https://www.linkedin.com/in/sofiakung/</t>
  </si>
  <si>
    <t xml:space="preserve">P083</t>
  </si>
  <si>
    <t xml:space="preserve">syabiqah phang</t>
  </si>
  <si>
    <t xml:space="preserve">#015</t>
  </si>
  <si>
    <t xml:space="preserve">https://www.linkedin.com/in/syabiqah-phang/</t>
  </si>
  <si>
    <t xml:space="preserve">P084</t>
  </si>
  <si>
    <t xml:space="preserve">Terry</t>
  </si>
  <si>
    <t xml:space="preserve">P085</t>
  </si>
  <si>
    <t xml:space="preserve">Timothy John</t>
  </si>
  <si>
    <t xml:space="preserve">P086</t>
  </si>
  <si>
    <t xml:space="preserve">Wan Wei</t>
  </si>
  <si>
    <t xml:space="preserve">https://www.linkedin.com/in/sohwanwei/</t>
  </si>
  <si>
    <t xml:space="preserve">P087</t>
  </si>
  <si>
    <t xml:space="preserve">Willie</t>
  </si>
  <si>
    <t xml:space="preserve">#016</t>
  </si>
  <si>
    <t xml:space="preserve">P088</t>
  </si>
  <si>
    <t xml:space="preserve">Wilson Chua</t>
  </si>
  <si>
    <t xml:space="preserve">#003, #004, #006</t>
  </si>
  <si>
    <t xml:space="preserve">https://www.linkedin.com/in/wilsonchua/</t>
  </si>
  <si>
    <t xml:space="preserve">P089</t>
  </si>
  <si>
    <t xml:space="preserve">Xiao Heng</t>
  </si>
  <si>
    <t xml:space="preserve">P090</t>
  </si>
  <si>
    <t xml:space="preserve">Yishu See</t>
  </si>
  <si>
    <t xml:space="preserve">https://www.linkedin.com/in/yishu-see/</t>
  </si>
  <si>
    <t xml:space="preserve">P091</t>
  </si>
  <si>
    <t xml:space="preserve">Yu Ning</t>
  </si>
  <si>
    <t xml:space="preserve">P092</t>
  </si>
  <si>
    <t xml:space="preserve">zhang cheng</t>
  </si>
  <si>
    <t xml:space="preserve">#054, #055, #058, #062</t>
  </si>
  <si>
    <t xml:space="preserve">https://www.linkedin.com/in/zhangcheng1997/</t>
  </si>
  <si>
    <t xml:space="preserve">P093</t>
  </si>
  <si>
    <t xml:space="preserve">Zi Cing Sim</t>
  </si>
  <si>
    <t xml:space="preserve">https://www.linkedin.com/in/simzicing/</t>
  </si>
  <si>
    <t xml:space="preserve">P094</t>
  </si>
  <si>
    <t xml:space="preserve">Han</t>
  </si>
  <si>
    <t xml:space="preserve">#078</t>
  </si>
  <si>
    <t xml:space="preserve">Socials by Hackathon</t>
  </si>
  <si>
    <t xml:space="preserve">One row per numbered hackathon. Add only posts that clearly document the relevant build or event.</t>
  </si>
  <si>
    <t xml:space="preserve">Hackathon #</t>
  </si>
  <si>
    <t xml:space="preserve">LinkedIn</t>
  </si>
  <si>
    <t xml:space="preserve">Instagram</t>
  </si>
  <si>
    <t xml:space="preserve">Facebook</t>
  </si>
  <si>
    <t xml:space="preserve">#002</t>
  </si>
  <si>
    <t xml:space="preserve">#004</t>
  </si>
  <si>
    <t xml:space="preserve">https://www.instagram.com/p/BZsdBDyAuNk/</t>
  </si>
  <si>
    <t xml:space="preserve">https://www.instagram.com/p/BgWUFk4FOSa/</t>
  </si>
  <si>
    <t xml:space="preserve">https://www.instagram.com/p/Bgvs2dLAeue/</t>
  </si>
  <si>
    <t xml:space="preserve">https://www.instagram.com/p/BjogOfOA6tG/</t>
  </si>
  <si>
    <t xml:space="preserve">https://www.instagram.com/p/BngqOFTggiI/
https://www.instagram.com/p/Bngpa4igs3o/</t>
  </si>
  <si>
    <t xml:space="preserve">https://www.instagram.com/p/Bo6FW7zg0Zj/</t>
  </si>
  <si>
    <t xml:space="preserve">https://www.instagram.com/p/BpMd-mignvt/
https://www.instagram.com/p/BpMRvP0g435/</t>
  </si>
  <si>
    <t xml:space="preserve">#021</t>
  </si>
  <si>
    <t xml:space="preserve">https://www.instagram.com/p/BqADJkbAn8x/</t>
  </si>
  <si>
    <t xml:space="preserve">#022</t>
  </si>
  <si>
    <t xml:space="preserve">https://www.instagram.com/p/Bs2f8FHHXNo/</t>
  </si>
  <si>
    <t xml:space="preserve">#025</t>
  </si>
  <si>
    <t xml:space="preserve">https://www.instagram.com/p/Bxo5Ka1FLrR/</t>
  </si>
  <si>
    <t xml:space="preserve">https://www.facebook.com/share/p/18y8TAM2dB/</t>
  </si>
  <si>
    <t xml:space="preserve">https://www.facebook.com/share/p/1F5LDVBjUj/</t>
  </si>
  <si>
    <t xml:space="preserve">https://www.instagram.com/p/B2EYk1KluTZ/
https://www.instagram.com/p/B2JzcFglegx/</t>
  </si>
  <si>
    <t xml:space="preserve"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t>
  </si>
  <si>
    <t xml:space="preserve">https://www.facebook.com/sayyid.iskandar/posts/pfbid02HTKxyfqPKL2uR4n9zFFxAzkXbE7FYNjkzzuQpqRpEgeCBzYnqvfko88xe9nDPD4kl
https://www.facebook.com/share/v/1BNrHxPRHz/</t>
  </si>
  <si>
    <t xml:space="preserve">https://www.facebook.com/sayyid.iskandar/posts/pfbid02T7TywvEM5ypGy8vVEQyJVS1ZAzQns7CGz483NQGZX5CKf1DaCw8P6VbcAFdQmqczl</t>
  </si>
  <si>
    <t xml:space="preserve">https://www.instagram.com/p/CrGJq7JvfYS/</t>
  </si>
  <si>
    <t xml:space="preserve">#032</t>
  </si>
  <si>
    <t xml:space="preserve">https://www.instagram.com/p/C0_xx0zRc1u/</t>
  </si>
  <si>
    <t xml:space="preserve">https://www.instagram.com/p/C1E93kNxOjM/</t>
  </si>
  <si>
    <t xml:space="preserve">https://www.instagram.com/p/C8MapmzSGnB/</t>
  </si>
  <si>
    <t xml:space="preserve">https://www.instagram.com/p/DHlaIwwz9Qg/
https://www.instagram.com/p/DHlZp4wTHze/</t>
  </si>
  <si>
    <t xml:space="preserve">#036</t>
  </si>
  <si>
    <t xml:space="preserve">https://www.instagram.com/p/DLBb3yoT412/
https://www.instagram.com/p/DLFWtVrx0_O/
https://www.instagram.com/reel/DLEZ4_LRK_G/
https://www.instagram.com/reel/DLEGXTsTe1y/</t>
  </si>
  <si>
    <t xml:space="preserve">#037</t>
  </si>
  <si>
    <t xml:space="preserve">https://www.instagram.com/p/DLcXTxAxUgg/</t>
  </si>
  <si>
    <t xml:space="preserve">#038</t>
  </si>
  <si>
    <t xml:space="preserve">https://www.instagram.com/p/DNLa9r_xO3o/</t>
  </si>
  <si>
    <t xml:space="preserve">#040</t>
  </si>
  <si>
    <t xml:space="preserve">https://www.linkedin.com/feed/update/urn:li:activity:7373307701516427264/</t>
  </si>
  <si>
    <t xml:space="preserve">https://www.instagram.com/p/DOQcqfMk4Wk/
https://www.instagram.com/p/DOVACxLE9PW/
https://www.instagram.com/reel/DOVLDxsE37O/
https://www.instagram.com/reel/DOQFqH8kfeT/</t>
  </si>
  <si>
    <t xml:space="preserve">#041</t>
  </si>
  <si>
    <t xml:space="preserve">https://www.instagram.com/p/DO0q1KYky3H/</t>
  </si>
  <si>
    <t xml:space="preserve">#042</t>
  </si>
  <si>
    <t xml:space="preserve">https://www.instagram.com/p/DPOUBvaE3GR/</t>
  </si>
  <si>
    <t xml:space="preserve">#043</t>
  </si>
  <si>
    <t xml:space="preserve">https://www.instagram.com/p/DPbGjobkxFW/</t>
  </si>
  <si>
    <t xml:space="preserve">#044</t>
  </si>
  <si>
    <t xml:space="preserve">https://www.linkedin.com/feed/update/urn:li:activity:7387523389042843648/</t>
  </si>
  <si>
    <t xml:space="preserve">https://www.instagram.com/p/DP-pSUWjPCS/</t>
  </si>
  <si>
    <t xml:space="preserve">https://www.instagram.com/reel/DQV0xxIk9ab/</t>
  </si>
  <si>
    <t xml:space="preserve">https://www.instagram.com/reel/DQjw5Lik-5m/</t>
  </si>
  <si>
    <t xml:space="preserve">#047</t>
  </si>
  <si>
    <t xml:space="preserve">#049</t>
  </si>
  <si>
    <t xml:space="preserve">https://www.instagram.com/p/DT49z3cE84y/</t>
  </si>
  <si>
    <t xml:space="preserve">#050</t>
  </si>
  <si>
    <t xml:space="preserve">https://www.linkedin.com/feed/update/urn:li:activity:7425889935137837056/</t>
  </si>
  <si>
    <t xml:space="preserve">https://www.instagram.com/p/DUdGe1jk_Wh/</t>
  </si>
  <si>
    <t xml:space="preserve">#051</t>
  </si>
  <si>
    <t xml:space="preserve">#052</t>
  </si>
  <si>
    <t xml:space="preserve">https://www.instagram.com/p/DVTWt5qE6QA/</t>
  </si>
  <si>
    <t xml:space="preserve">#053</t>
  </si>
  <si>
    <t xml:space="preserve">#054</t>
  </si>
  <si>
    <t xml:space="preserve">https://www.linkedin.com/feed/update/urn:li:activity:7438474540781006848/</t>
  </si>
  <si>
    <t xml:space="preserve">https://www.instagram.com/p/DV0x7PoE18a/</t>
  </si>
  <si>
    <t xml:space="preserve">#055</t>
  </si>
  <si>
    <t xml:space="preserve">https://www.instagram.com/p/DWd1UjUkwSf/</t>
  </si>
  <si>
    <t xml:space="preserve">#056</t>
  </si>
  <si>
    <t xml:space="preserve">#057</t>
  </si>
  <si>
    <t xml:space="preserve">https://www.linkedin.com/feed/update/urn:li:activity:7448758050586521600/</t>
  </si>
  <si>
    <t xml:space="preserve">https://www.instagram.com/p/DW9CxfwE6Ln/
https://www.instagram.com/p/DW_vFeIk0-2/</t>
  </si>
  <si>
    <t xml:space="preserve">https://www.instagram.com/p/DXRahaqk28d/</t>
  </si>
  <si>
    <t xml:space="preserve">https://www.linkedin.com/feed/update/urn:li:activity:7455961388025389056/</t>
  </si>
  <si>
    <t xml:space="preserve">https://www.instagram.com/p/DXg-YyWE5r6/</t>
  </si>
  <si>
    <t xml:space="preserve">#060</t>
  </si>
  <si>
    <t xml:space="preserve">https://www.instagram.com/p/DXwnu_3E2dI/</t>
  </si>
  <si>
    <t xml:space="preserve">#061</t>
  </si>
  <si>
    <t xml:space="preserve">https://www.instagram.com/p/DXwqrEOkwoB/
https://www.instagram.com/reel/DXykZomTmXD/</t>
  </si>
  <si>
    <t xml:space="preserve">#062</t>
  </si>
  <si>
    <t xml:space="preserve">https://www.instagram.com/p/DX4HAVzE9WO/</t>
  </si>
  <si>
    <t xml:space="preserve">#063</t>
  </si>
  <si>
    <t xml:space="preserve">https://www.linkedin.com/feed/update/urn:li:activity:7459414332150534144/</t>
  </si>
  <si>
    <t xml:space="preserve">https://www.instagram.com/p/DYLfGwuk3Xc/</t>
  </si>
  <si>
    <t xml:space="preserve">#065</t>
  </si>
  <si>
    <t xml:space="preserve">https://www.linkedin.com/feed/update/urn:li:activity:7462661884056416256/</t>
  </si>
  <si>
    <t xml:space="preserve">https://www.instagram.com/p/DYe1dlpE7Af/</t>
  </si>
  <si>
    <t xml:space="preserve">#066</t>
  </si>
  <si>
    <t xml:space="preserve">https://www.linkedin.com/feed/update/urn:li:activity:7471043781799178240/</t>
  </si>
  <si>
    <t xml:space="preserve">https://www.instagram.com/p/DZc1D4HHbmy/
https://www.instagram.com/p/DZeIbzgRO-n/</t>
  </si>
  <si>
    <t xml:space="preserve">https://www.linkedin.com/feed/update/urn:li:activity:7472197868632571905/</t>
  </si>
  <si>
    <t xml:space="preserve">https://www.instagram.com/reel/DZom-hVRIRN/
https://www.instagram.com/reel/DZonQbURE5R/</t>
  </si>
  <si>
    <t xml:space="preserve">#068</t>
  </si>
  <si>
    <t xml:space="preserve">https://www.linkedin.com/feed/update/urn:li:activity:7480285163512418306/</t>
  </si>
  <si>
    <t xml:space="preserve">https://www.instagram.com/p/DZ3itBVzLwN/
https://www.instagram.com/p/DZ7AtfFndkJ/</t>
  </si>
  <si>
    <t xml:space="preserve">https://www.instagram.com/p/DZ7Wj9anW7x/</t>
  </si>
  <si>
    <t xml:space="preserve">#070</t>
  </si>
  <si>
    <t xml:space="preserve">https://www.linkedin.com/feed/update/urn:li:activity:7477508615239585792/</t>
  </si>
  <si>
    <t xml:space="preserve">https://www.instagram.com/p/DaFSqK7k2ce/
https://www.instagram.com/p/DaFSaYHkwPC/
https://www.instagram.com/reel/DaFm4k2zifY/</t>
  </si>
  <si>
    <t xml:space="preserve">#071</t>
  </si>
  <si>
    <t xml:space="preserve">https://www.linkedin.com/feed/update/urn:li:activity:7482072463900835840/</t>
  </si>
  <si>
    <t xml:space="preserve">https://www.instagram.com/p/Dash2D1k4C2/</t>
  </si>
  <si>
    <t xml:space="preserve">#072</t>
  </si>
  <si>
    <t xml:space="preserve">https://www.linkedin.com/feed/update/urn:li:activity:7486774772140474368/</t>
  </si>
  <si>
    <t xml:space="preserve">https://www.instagram.com/p/DbN5kZlk0LL/
https://www.instagram.com/reel/DbN4xRaxZY8/
https://www.instagram.com/reel/DbN5OnlRCGQ/</t>
  </si>
  <si>
    <t xml:space="preserve">#073</t>
  </si>
  <si>
    <t xml:space="preserve">https://www.instagram.com/p/DbpmfeiHexb/</t>
  </si>
  <si>
    <t xml:space="preserve">#074</t>
  </si>
  <si>
    <t xml:space="preserve">https://www.linkedin.com/feed/update/urn:li:activity:7490764342309855232/</t>
  </si>
  <si>
    <t xml:space="preserve">https://www.instagram.com/p/Db50W3FHYuM/</t>
  </si>
  <si>
    <t xml:space="preserve">#075</t>
  </si>
  <si>
    <t xml:space="preserve">https://www.linkedin.com/posts/sayyidkhan92_hackathon-singapore-ai-activity-7495846654978478080-lNv7?utm_source=share&amp;utm_medium=member_desktop&amp;rcm=ACoAABzB85UB8iZMlY6hoj9K3g7MfcRKsCZOvqw</t>
  </si>
  <si>
    <t xml:space="preserve">https://www.instagram.com/p/DcOZh7DHVFE/</t>
  </si>
  <si>
    <t xml:space="preserve">#076</t>
  </si>
  <si>
    <t xml:space="preserve">https://www.linkedin.com/feed/update/urn:li:activity:7498397192852779008/</t>
  </si>
  <si>
    <t xml:space="preserve">https://www.instagram.com/reel/Dcgk8b_RELZ/
https://www.instagram.com/p/DcghI50ncWn/</t>
  </si>
  <si>
    <t xml:space="preserve">#077</t>
  </si>
  <si>
    <t xml:space="preserve">https://www.instagram.com/p/Dcxszh0nbh6/</t>
  </si>
  <si>
    <t xml:space="preserve">https://www.instagram.com/p/Dc5Nkd-nU1B/</t>
  </si>
  <si>
    <t xml:space="preserve">#079</t>
  </si>
  <si>
    <t xml:space="preserve">https://www.linkedin.com/posts/sayyidkhan92_hackathon-ai-sarawak-activity-7502243111935307776-MYar?utm_source=share&amp;utm_medium=member_desktop&amp;rcm=ACoAABzB85UB8iZMlY6hoj9K3g7MfcRKsCZOvqw
https://www.linkedin.com/posts/sohwanwei_saiyan-saiyanbuilders-singaporesarawak-ugcPost-7502187273908596737-4La9?utm_source=share&amp;utm_medium=member_desktop&amp;rcm=ACoAABzB85UB8iZMlY6hoj9K3g7MfcRKsCZOvqw</t>
  </si>
  <si>
    <t xml:space="preserve">https://www.instagram.com/p/Dc5QhzbmxIE/?utm_source=ig_web_copy_link&amp;stkn=MzRlODBiNWFlZA==
https://www.instagram.com/reel/Dc5TWF8TcSt/?utm_source=ig_web_copy_link&amp;stkn=MzRlODBiNWFlZA==
https://www.instagram.com/reel/Dc5ksn1xwM_/?utm_source=ig_web_copy_link&amp;stkn=MzRlODBiNWFlZA==
https://www.instagram.com/p/Dc7j6K9k9Rn/?utm_source=ig_web_copy_link&amp;stkn=MzRlODBiNWFlZA==
https://www.instagram.com/p/DdEa6eRHUJq/?utm_source=ig_web_copy_link&amp;stkn=MzRlODBiNWFlZA==
https://www.instagram.com/reel/Dc8Mz_8z325/
https://www.instagram.com/reel/Dc5UiWhxVXR/</t>
  </si>
  <si>
    <t xml:space="preserve">#080</t>
  </si>
  <si>
    <t xml:space="preserve">https://www.linkedin.com/posts/sayyidkhan92_hackathon-astra-ai-activity-7506342725504557056-ifQj?utm_source=share&amp;utm_medium=member_desktop&amp;rcm=ACoAABzB85UB8iZMlY6hoj9K3g7MfcRKsCZOvqw
https://www.linkedin.com/posts/sayyidkhan92_hackathon-astra-ai-activity-7504873783019597824-0MLK?utm_source=share&amp;utm_medium=member_desktop&amp;rcm=ACoAABzB85UB8iZMlY6hoj9K3g7MfcRKsCZOvqw
https://www.linkedin.com/feed/update/urn:li:activity:7505062754270175232/</t>
  </si>
  <si>
    <t xml:space="preserve">https://www.instagram.com/reel/DdOiYzlxNim/?utm_source=ig_web_copy_link&amp;stkn=MzRlODBiNWFlZA==
https://www.instagram.com/p/DdY81t8k9G8/?utm_source=ig_web_copy_link&amp;stkn=MzRlODBiNWFlZA==</t>
  </si>
  <si>
    <t xml:space="preserve">#081</t>
  </si>
  <si>
    <t xml:space="preserve">https://www.instagram.com/p/Dddoi71EyhB/?utm_source=ig_web_copy_link&amp;stkn=MzRlODBiNWFlZA==</t>
  </si>
  <si>
    <t xml:space="preserve">Theme category map</t>
  </si>
  <si>
    <t xml:space="preserve">Keep detailed themes in the Hackathons sheet. Update this map to control the general-category dashboard; unmapped themes appear as Unclassified.</t>
  </si>
  <si>
    <t xml:space="preserve">Raw Theme</t>
  </si>
  <si>
    <t xml:space="preserve">General Category</t>
  </si>
  <si>
    <t xml:space="preserve">Notes</t>
  </si>
  <si>
    <t xml:space="preserve">Consumer &amp; Lifestyle</t>
  </si>
  <si>
    <t xml:space="preserve">Creative &amp; Play</t>
  </si>
  <si>
    <t xml:space="preserve">AI &amp; Data</t>
  </si>
  <si>
    <t xml:space="preserve">Emerging Tech</t>
  </si>
  <si>
    <t xml:space="preserve">Open / Experimental</t>
  </si>
  <si>
    <t xml:space="preserve">Event-specific prompt</t>
  </si>
  <si>
    <t xml:space="preserve">Data Analytics</t>
  </si>
  <si>
    <t xml:space="preserve">Delivery</t>
  </si>
  <si>
    <t xml:space="preserve">Operations &amp; Productivity</t>
  </si>
  <si>
    <t xml:space="preserve">E-Waste</t>
  </si>
  <si>
    <t xml:space="preserve">Sustainability &amp; Civic</t>
  </si>
  <si>
    <t xml:space="preserve">Edu-Fintech</t>
  </si>
  <si>
    <t xml:space="preserve">Finance &amp; Commerce</t>
  </si>
  <si>
    <t xml:space="preserve">Education &amp; Workforce</t>
  </si>
  <si>
    <t xml:space="preserve">Financial Legacy</t>
  </si>
  <si>
    <t xml:space="preserve">Fitness</t>
  </si>
  <si>
    <t xml:space="preserve">Health &amp; Wellbeing</t>
  </si>
  <si>
    <t xml:space="preserve">Food</t>
  </si>
  <si>
    <t xml:space="preserve">Platform or event context; reclassify if needed</t>
  </si>
  <si>
    <t xml:space="preserve">Health</t>
  </si>
  <si>
    <t xml:space="preserve">Logistics</t>
  </si>
  <si>
    <t xml:space="preserve">Personal Development</t>
  </si>
  <si>
    <t xml:space="preserve">Case-insensitive match also covers lower-case values</t>
  </si>
  <si>
    <t xml:space="preserve">Property Management</t>
  </si>
  <si>
    <t xml:space="preserve">Shariah Compliance</t>
  </si>
  <si>
    <t xml:space="preserve">Social Enterprise</t>
  </si>
  <si>
    <t xml:space="preserve">Various</t>
  </si>
  <si>
    <t xml:space="preserve">Mixed or unspecified</t>
  </si>
  <si>
    <t xml:space="preserve">Weather</t>
  </si>
  <si>
    <t xml:space="preserve">On-device and local model builds</t>
  </si>
  <si>
    <t xml:space="preserve">ChatGPT and Codex site builds</t>
  </si>
  <si>
    <t xml:space="preserve">GPT-6 Astra</t>
  </si>
  <si>
    <t xml:space="preserve">GPT-6 Astra hackathon builds</t>
  </si>
  <si>
    <t xml:space="preserve">Small-business digital experiences and commerce tools</t>
  </si>
  <si>
    <t xml:space="preserve">Interactive anti-drug and youth-wellbeing builds</t>
  </si>
  <si>
    <t xml:space="preserve">Prize Money &amp; Rewards</t>
  </si>
  <si>
    <t xml:space="preserve">Live summary from the structured award fields on the Hackathons tab. Values refresh when you update the highlighted classification columns there.</t>
  </si>
  <si>
    <t xml:space="preserve">Cash-equivalent prizes</t>
  </si>
  <si>
    <t xml:space="preserve">Credits and subscriptions</t>
  </si>
  <si>
    <t xml:space="preserve">SGD cash + vouchers</t>
  </si>
  <si>
    <t xml:space="preserve">USD credits</t>
  </si>
  <si>
    <t xml:space="preserve">USD cash + vouchers</t>
  </si>
  <si>
    <t xml:space="preserve">SGD credits</t>
  </si>
  <si>
    <t xml:space="preserve">Confirmed prize records</t>
  </si>
  <si>
    <t xml:space="preserve">Subscription value (USD)</t>
  </si>
  <si>
    <t xml:space="preserve">Includes vouchers you chose to treat as cash-equivalent. Funding is shown separately and included in the all-tracked totals below.</t>
  </si>
  <si>
    <t xml:space="preserve">Subscriptions collected</t>
  </si>
  <si>
    <t xml:space="preserve">Breakdown by currency</t>
  </si>
  <si>
    <t xml:space="preserve">Category</t>
  </si>
  <si>
    <t xml:space="preserve">Currency</t>
  </si>
  <si>
    <t xml:space="preserve">Team total</t>
  </si>
  <si>
    <t xml:space="preserve">Individual total</t>
  </si>
  <si>
    <t xml:space="preserve">How it is calculated</t>
  </si>
  <si>
    <t xml:space="preserve">Assets Collected</t>
  </si>
  <si>
    <t xml:space="preserve">Cash and vouchers marked Yes</t>
  </si>
  <si>
    <t xml:space="preserve">Recorded asset entries</t>
  </si>
  <si>
    <t xml:space="preserve">Trophies collected</t>
  </si>
  <si>
    <t xml:space="preserve">Credits</t>
  </si>
  <si>
    <t xml:space="preserve">Non-cash product / API credits</t>
  </si>
  <si>
    <t xml:space="preserve">Hackathon</t>
  </si>
  <si>
    <t xml:space="preserve">Item</t>
  </si>
  <si>
    <t xml:space="preserve">Trophies</t>
  </si>
  <si>
    <t xml:space="preserve">Subscriptions</t>
  </si>
  <si>
    <t xml:space="preserve">Known subscription value</t>
  </si>
  <si>
    <t xml:space="preserve">Funding</t>
  </si>
  <si>
    <t xml:space="preserve">Seed funding / grants</t>
  </si>
  <si>
    <t xml:space="preserve">Assets remain outside monetary totals until a value is recorded.</t>
  </si>
  <si>
    <t xml:space="preserve">All tracked monetary value</t>
  </si>
  <si>
    <t xml:space="preserve">Amount</t>
  </si>
  <si>
    <t xml:space="preserve">Includes</t>
  </si>
  <si>
    <t xml:space="preserve">Individual Total (Your Share)</t>
  </si>
  <si>
    <t xml:space="preserve">All prize value</t>
  </si>
  <si>
    <t xml:space="preserve">Cash, credits, subscriptions, funding</t>
  </si>
  <si>
    <t xml:space="preserve">Individual tracked value</t>
  </si>
  <si>
    <t xml:space="preserve">This combines money-like prizes, credits, subscriptions, and funding in the same currency. Trophies and physical assets are excluded because they have no recorded monetary value.</t>
  </si>
  <si>
    <t xml:space="preserve">Update the yellow structured fields in Hackathons; this dashboard refreshes automatically.</t>
  </si>
  <si>
    <t xml:space="preserve">Prize Details — Team Totals and Individual Share</t>
  </si>
  <si>
    <t xml:space="preserve">Team totals reflect the allocation basis. Per Team Member awards multiply the per-person award by the hackathon team count; individual values retain the per-person amount.</t>
  </si>
  <si>
    <t xml:space="preserve">Records tracked</t>
  </si>
  <si>
    <t xml:space="preserve">Cash-equivalent total (SGD)</t>
  </si>
  <si>
    <t xml:space="preserve">Cash-equivalent total (USD)</t>
  </si>
  <si>
    <t xml:space="preserve">Team Cash</t>
  </si>
  <si>
    <t xml:space="preserve">Cash Currency</t>
  </si>
  <si>
    <t xml:space="preserve">Individual Cash</t>
  </si>
  <si>
    <t xml:space="preserve">Team Credits</t>
  </si>
  <si>
    <t xml:space="preserve">Individual Credits</t>
  </si>
  <si>
    <t xml:space="preserve">Team Subscription Count</t>
  </si>
  <si>
    <t xml:space="preserve">Team Subscription Value</t>
  </si>
  <si>
    <t xml:space="preserve">Individual Subscription Value</t>
  </si>
  <si>
    <t xml:space="preserve">Team Funding</t>
  </si>
  <si>
    <t xml:space="preserve">Individual Funding</t>
  </si>
  <si>
    <t xml:space="preserve">Money Counted?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</si>
</sst>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mm/yy"/>
    <numFmt numFmtId="168" formatCode="mmm\ d&quot;, &quot;yy"/>
    <numFmt numFmtId="169" formatCode="mm/dd/yyyy"/>
  </numFmts>
  <fonts count="3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0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11"/>
      <color rgb="FF5A514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21D2F"/>
      <name val="Calibri"/>
      <family val="0"/>
      <charset val="1"/>
    </font>
    <font>
      <sz val="10"/>
      <color rgb="FF202020"/>
      <name val="Calibri"/>
      <family val="0"/>
      <charset val="1"/>
    </font>
    <font>
      <sz val="10"/>
      <color rgb="FF0077B5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5F6368"/>
      <name val="Calibri"/>
      <family val="0"/>
      <charset val="1"/>
    </font>
    <font>
      <b val="true"/>
      <sz val="12"/>
      <color rgb="FF111111"/>
      <name val="Calibri"/>
      <family val="0"/>
      <charset val="1"/>
    </font>
    <font>
      <sz val="12"/>
      <color rgb="FF111111"/>
      <name val="Calibri"/>
      <family val="0"/>
      <charset val="1"/>
    </font>
    <font>
      <i val="true"/>
      <sz val="12"/>
      <color rgb="FF5F6368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5B677A"/>
      <name val="Calibri"/>
      <family val="0"/>
      <charset val="1"/>
    </font>
    <font>
      <b val="true"/>
      <sz val="12"/>
      <color rgb="FF17324D"/>
      <name val="Calibri"/>
      <family val="0"/>
      <charset val="1"/>
    </font>
    <font>
      <b val="true"/>
      <sz val="14"/>
      <color rgb="FF17324D"/>
      <name val="Calibri"/>
      <family val="0"/>
      <charset val="1"/>
    </font>
    <font>
      <i val="true"/>
      <sz val="9"/>
      <color rgb="FF6B5D2A"/>
      <name val="Calibri"/>
      <family val="0"/>
      <charset val="1"/>
    </font>
    <font>
      <sz val="12"/>
      <color rgb="FF233142"/>
      <name val="Calibri"/>
      <family val="0"/>
      <charset val="1"/>
    </font>
    <font>
      <i val="true"/>
      <sz val="10"/>
      <color rgb="FF4B5563"/>
      <name val="Calibri"/>
      <family val="0"/>
      <charset val="1"/>
    </font>
    <font>
      <sz val="10"/>
      <color rgb="FF17324D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i val="true"/>
      <sz val="9"/>
      <color rgb="FF5B6573"/>
      <name val="Calibri"/>
      <family val="0"/>
      <charset val="1"/>
    </font>
    <font>
      <sz val="12"/>
      <color rgb="FF17324D"/>
      <name val="Calibri"/>
      <family val="0"/>
      <charset val="1"/>
    </font>
    <font>
      <b val="true"/>
      <i val="true"/>
      <sz val="9"/>
      <color rgb="FF4B5563"/>
      <name val="Calibri"/>
      <family val="0"/>
      <charset val="1"/>
    </font>
    <font>
      <b val="true"/>
      <sz val="18"/>
      <color rgb="FF17324D"/>
      <name val="Calibri"/>
      <family val="0"/>
      <charset val="1"/>
    </font>
    <font>
      <i val="true"/>
      <sz val="10"/>
      <color rgb="FF5B6573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7324D"/>
        <bgColor rgb="FF233142"/>
      </patternFill>
    </fill>
    <fill>
      <patternFill patternType="solid">
        <fgColor rgb="FFFFF4CC"/>
        <bgColor rgb="FFFFF3D5"/>
      </patternFill>
    </fill>
    <fill>
      <patternFill patternType="solid">
        <fgColor rgb="FFEAF3F8"/>
        <bgColor rgb="FFF2F4F7"/>
      </patternFill>
    </fill>
    <fill>
      <patternFill patternType="solid">
        <fgColor rgb="FF111111"/>
        <bgColor rgb="FF0B0B0B"/>
      </patternFill>
    </fill>
    <fill>
      <patternFill patternType="solid">
        <fgColor rgb="FFFFF3D5"/>
        <bgColor rgb="FFFFF4CC"/>
      </patternFill>
    </fill>
    <fill>
      <patternFill patternType="solid">
        <fgColor rgb="FFF21D2F"/>
        <bgColor rgb="FFD91A2A"/>
      </patternFill>
    </fill>
    <fill>
      <patternFill patternType="solid">
        <fgColor rgb="FF0B0B0B"/>
        <bgColor rgb="FF111111"/>
      </patternFill>
    </fill>
    <fill>
      <patternFill patternType="solid">
        <fgColor rgb="FFE8E7E2"/>
        <bgColor rgb="FFE2E1DB"/>
      </patternFill>
    </fill>
    <fill>
      <patternFill patternType="solid">
        <fgColor rgb="FFF2F4F7"/>
        <bgColor rgb="FFF3F6F9"/>
      </patternFill>
    </fill>
    <fill>
      <patternFill patternType="solid">
        <fgColor rgb="FF2F75B5"/>
        <bgColor rgb="FF4472C4"/>
      </patternFill>
    </fill>
    <fill>
      <patternFill patternType="solid">
        <fgColor rgb="FFDCEAF7"/>
        <bgColor rgb="FFDDF5EF"/>
      </patternFill>
    </fill>
    <fill>
      <patternFill patternType="solid">
        <fgColor rgb="FFD9EAD3"/>
        <bgColor rgb="FFE2E1DB"/>
      </patternFill>
    </fill>
    <fill>
      <patternFill patternType="solid">
        <fgColor rgb="FFF3F6F9"/>
        <bgColor rgb="FFF2F4F7"/>
      </patternFill>
    </fill>
    <fill>
      <patternFill patternType="solid">
        <fgColor rgb="FFFFFFFF"/>
        <bgColor rgb="FFF3F6F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1A2A"/>
      </left>
      <right style="thin">
        <color rgb="FFD91A2A"/>
      </right>
      <top style="thin">
        <color rgb="FFD91A2A"/>
      </top>
      <bottom style="thin">
        <color rgb="FFD91A2A"/>
      </bottom>
      <diagonal/>
    </border>
    <border diagonalUp="false" diagonalDown="false">
      <left style="thin">
        <color rgb="FFE3E0D8"/>
      </left>
      <right style="thin">
        <color rgb="FFE3E0D8"/>
      </right>
      <top style="thin">
        <color rgb="FFE3E0D8"/>
      </top>
      <bottom style="thin">
        <color rgb="FFE3E0D8"/>
      </bottom>
      <diagonal/>
    </border>
    <border diagonalUp="false" diagonalDown="false">
      <left style="thin">
        <color rgb="FFCFCFC8"/>
      </left>
      <right style="thin">
        <color rgb="FFCFCFC8"/>
      </right>
      <top style="thin">
        <color rgb="FFCFCFC8"/>
      </top>
      <bottom style="thin">
        <color rgb="FFCFCFC8"/>
      </bottom>
      <diagonal/>
    </border>
    <border diagonalUp="false" diagonalDown="false">
      <left style="thin">
        <color rgb="FFE2E1DB"/>
      </left>
      <right style="thin">
        <color rgb="FFE2E1DB"/>
      </right>
      <top style="thin">
        <color rgb="FFE2E1DB"/>
      </top>
      <bottom style="thin">
        <color rgb="FFE2E1DB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3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21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21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21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8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9" borderId="3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4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13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1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1" fillId="1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13" borderId="0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0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1" fillId="1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5" fillId="3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12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4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1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5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4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13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3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3" borderId="0" xfId="21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Normal" xfId="21"/>
  </cellStyles>
  <dxfs count="25">
    <dxf>
      <fill>
        <patternFill patternType="solid">
          <fgColor rgb="FFF21D2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020"/>
          <bgColor rgb="FF000000"/>
        </patternFill>
      </fill>
    </dxf>
    <dxf>
      <fill>
        <patternFill patternType="solid">
          <fgColor rgb="FF0077B5"/>
          <bgColor rgb="FF000000"/>
        </patternFill>
      </fill>
    </dxf>
    <dxf>
      <font>
        <b val="1"/>
        <color rgb="FF087F6D"/>
      </font>
      <fill>
        <patternFill>
          <bgColor rgb="FFDDF5EF"/>
        </patternFill>
      </fill>
    </dxf>
    <dxf>
      <font>
        <b val="1"/>
        <color rgb="FF8A5A00"/>
      </font>
      <fill>
        <patternFill>
          <bgColor rgb="FFFFF3D5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3D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ont>
        <color rgb="FF000000"/>
      </font>
      <fill>
        <patternFill>
          <bgColor theme="6" tint="0.8"/>
        </patternFill>
      </fill>
    </dxf>
    <dxf>
      <fill>
        <patternFill>
          <bgColor theme="6" tint="0.6"/>
        </patternFill>
      </fill>
    </dxf>
    <dxf>
      <fill>
        <patternFill>
          <bgColor theme="6" tint="0.6"/>
        </patternFill>
      </fill>
    </dxf>
    <dxf>
      <font>
        <b val="1"/>
        <color rgb="FFFFFFFF"/>
      </font>
      <fill>
        <patternFill>
          <bgColor theme="6"/>
        </patternFill>
      </fill>
    </dxf>
    <dxf>
      <font>
        <b val="1"/>
        <color rgb="FFFFFFFF"/>
      </font>
      <fill>
        <patternFill>
          <bgColor theme="6"/>
        </patternFill>
      </fill>
    </dxf>
    <dxf>
      <font>
        <b val="1"/>
        <color rgb="FFFFFFFF"/>
      </font>
      <fill>
        <patternFill>
          <bgColor theme="6"/>
        </patternFill>
      </fill>
      <border diagonalUp="false" diagonalDown="false">
        <left/>
        <right/>
        <top/>
        <bottom style="medium">
          <color theme="0"/>
        </bottom>
        <diagonal/>
      </border>
    </dxf>
    <dxf>
      <font>
        <b val="1"/>
        <color rgb="FFFFFFFF"/>
      </font>
      <fill>
        <patternFill>
          <bgColor theme="6"/>
        </patternFill>
      </fill>
      <border diagonalUp="false" diagonalDown="false">
        <left/>
        <right/>
        <top style="medium">
          <color theme="0"/>
        </top>
        <bottom/>
        <diagonal/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2">
    <tableStyle count="7" name="TableStyleMedium11">
      <tableStyleElement dxfId="11" type="wholeTable"/>
      <tableStyleElement dxfId="12" type="firstColumnStripe"/>
      <tableStyleElement dxfId="13" type="firstRowStripe"/>
      <tableStyleElement dxfId="14" type="lastColumn"/>
      <tableStyleElement dxfId="15" type="firstColumn"/>
      <tableStyleElement dxfId="16" type="headerRow"/>
      <tableStyleElement dxfId="17" type="totalRow"/>
    </tableStyle>
    <tableStyle count="7" name="TableStyleMedium2">
      <tableStyleElement dxfId="18" type="wholeTable"/>
      <tableStyleElement dxfId="19" type="firstColumnStripe"/>
      <tableStyleElement dxfId="20" type="firstRowStripe"/>
      <tableStyleElement dxfId="21" type="lastColumn"/>
      <tableStyleElement dxfId="22" type="firstColumn"/>
      <tableStyleElement dxfId="23" type="headerRow"/>
      <tableStyleElement dxfId="24" type="totalRow"/>
    </tableStyle>
  </tableStyles>
  <colors>
    <indexedColors>
      <rgbColor rgb="FF000000"/>
      <rgbColor rgb="FFFFFFFF"/>
      <rgbColor rgb="FFF21D2F"/>
      <rgbColor rgb="FF00FF00"/>
      <rgbColor rgb="FF0000FF"/>
      <rgbColor rgb="FFF3F6F9"/>
      <rgbColor rgb="FFFF00FF"/>
      <rgbColor rgb="FF00FFFF"/>
      <rgbColor rgb="FF800000"/>
      <rgbColor rgb="FF008000"/>
      <rgbColor rgb="FF0B0B0B"/>
      <rgbColor rgb="FF8A5A00"/>
      <rgbColor rgb="FF800080"/>
      <rgbColor rgb="FF087F6D"/>
      <rgbColor rgb="FFCFCFC8"/>
      <rgbColor rgb="FF5B6573"/>
      <rgbColor rgb="FF8FAADC"/>
      <rgbColor rgb="FF5A5143"/>
      <rgbColor rgb="FFFFF4CC"/>
      <rgbColor rgb="FFDDF5EF"/>
      <rgbColor rgb="FF660066"/>
      <rgbColor rgb="FFFF8080"/>
      <rgbColor rgb="FF0563C1"/>
      <rgbColor rgb="FFE2E1DB"/>
      <rgbColor rgb="FF000080"/>
      <rgbColor rgb="FFFF00FF"/>
      <rgbColor rgb="FFFFFF00"/>
      <rgbColor rgb="FF00FFFF"/>
      <rgbColor rgb="FF800080"/>
      <rgbColor rgb="FF800000"/>
      <rgbColor rgb="FF0077B5"/>
      <rgbColor rgb="FF0000FF"/>
      <rgbColor rgb="FF00CCFF"/>
      <rgbColor rgb="FFDCEAF7"/>
      <rgbColor rgb="FFD9EAD3"/>
      <rgbColor rgb="FFFFF3D5"/>
      <rgbColor rgb="FFE8E7E2"/>
      <rgbColor rgb="FFF2F4F7"/>
      <rgbColor rgb="FFEAF3F8"/>
      <rgbColor rgb="FFE3E0D8"/>
      <rgbColor rgb="FF4472C4"/>
      <rgbColor rgb="FF33CCCC"/>
      <rgbColor rgb="FF99CC00"/>
      <rgbColor rgb="FFFFCC00"/>
      <rgbColor rgb="FFFF9900"/>
      <rgbColor rgb="FFFF6600"/>
      <rgbColor rgb="FF5B677A"/>
      <rgbColor rgb="FF5F6368"/>
      <rgbColor rgb="FF17324D"/>
      <rgbColor rgb="FF2F75B5"/>
      <rgbColor rgb="FF111111"/>
      <rgbColor rgb="FF202020"/>
      <rgbColor rgb="FFD91A2A"/>
      <rgbColor rgb="FF6B5D2A"/>
      <rgbColor rgb="FF4B5563"/>
      <rgbColor rgb="FF2331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ackathonSocials" displayName="HackathonSocials" ref="A4:D78" headerRowCount="1" totalsRowCount="0" totalsRowShown="0">
  <autoFilter ref="A4:D78"/>
  <tableColumns count="4">
    <tableColumn id="1" name="#001"/>
    <tableColumn id="2" name=""/>
    <tableColumn id="3" name=""/>
    <tableColumn id="4" name="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PeopleDirectory" displayName="PeopleDirectory" ref="A4:E97" headerRowCount="1" totalsRowCount="0" totalsRowShown="0">
  <autoFilter ref="A4:E97"/>
  <tableColumns count="5">
    <tableColumn id="1" name="Person ID"/>
    <tableColumn id="2" name="Name"/>
    <tableColumn id="3" name="Hackathon #s"/>
    <tableColumn id="4" name="Builds Together"/>
    <tableColumn id="5" name="LinkedIn URL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PrizeDetailsTable" displayName="PrizeDetailsTable" ref="A4:Y28" headerRowCount="1" totalsRowCount="0" totalsRowShown="0">
  <autoFilter ref="A4:Y28"/>
  <tableColumns count="25">
    <tableColumn id="1" name="#"/>
    <tableColumn id="2" name="Hackathon"/>
    <tableColumn id="3" name="Award Summary"/>
    <tableColumn id="4" name="Award Type"/>
    <tableColumn id="5" name="Additional Info"/>
    <tableColumn id="6" name="Hackathon Team Members"/>
    <tableColumn id="7" name="Prize Allocation"/>
    <tableColumn id="8" name="Team Cash"/>
    <tableColumn id="9" name="Cash Currency"/>
    <tableColumn id="10" name="Individual Cash"/>
    <tableColumn id="11" name="Team Credits"/>
    <tableColumn id="12" name="Credit Currency / Units"/>
    <tableColumn id="13" name="Individual Credits"/>
    <tableColumn id="14" name="Team Subscription Count"/>
    <tableColumn id="15" name="Team Subscription Value"/>
    <tableColumn id="16" name="Subscription Currency"/>
    <tableColumn id="17" name="Individual Subscription Value"/>
    <tableColumn id="18" name="Team Funding"/>
    <tableColumn id="19" name="Funding Currency"/>
    <tableColumn id="20" name="Individual Funding"/>
    <tableColumn id="21" name="Other Non-cash Prize"/>
    <tableColumn id="22" name="Physical Asset"/>
    <tableColumn id="23" name="Trophy Count"/>
    <tableColumn id="24" name="Money Counted?"/>
    <tableColumn id="25" name="Review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ithub.com/cheonglol/superai-next-hackathon-2025" TargetMode="External"/><Relationship Id="rId2" Type="http://schemas.openxmlformats.org/officeDocument/2006/relationships/hyperlink" Target="https://luma.com/tgbspeechmatics1?tk=NaV6RE" TargetMode="External"/><Relationship Id="rId3" Type="http://schemas.openxmlformats.org/officeDocument/2006/relationships/hyperlink" Target="https://luma.com/bh5iqhnx?tk=17u8ZH" TargetMode="External"/><Relationship Id="rId4" Type="http://schemas.openxmlformats.org/officeDocument/2006/relationships/hyperlink" Target="https://github.com/gigradarapp/gr-atlas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inkedin.com/in/abdul-hakam-bin-nor-razak-nus/" TargetMode="External"/><Relationship Id="rId2" Type="http://schemas.openxmlformats.org/officeDocument/2006/relationships/hyperlink" Target="https://www.linkedin.com/in/akmal-hakim-teo/" TargetMode="External"/><Relationship Id="rId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6" customHeight="false" zeroHeight="false" outlineLevelRow="0" outlineLevelCol="0"/>
  <cols>
    <col collapsed="false" customWidth="true" hidden="false" outlineLevel="0" max="2" min="2" style="0" width="58.43"/>
    <col collapsed="false" customWidth="true" hidden="false" outlineLevel="0" max="3" min="3" style="0" width="42.49"/>
    <col collapsed="false" customWidth="true" hidden="false" outlineLevel="0" max="4" min="4" style="1" width="22.35"/>
    <col collapsed="false" customWidth="true" hidden="false" outlineLevel="0" max="5" min="5" style="0" width="8.97"/>
    <col collapsed="false" customWidth="true" hidden="false" outlineLevel="0" max="6" min="6" style="0" width="13.37"/>
    <col collapsed="false" customWidth="true" hidden="false" outlineLevel="0" max="7" min="7" style="0" width="58.62"/>
    <col collapsed="false" customWidth="true" hidden="false" outlineLevel="0" max="8" min="8" style="0" width="36.09"/>
    <col collapsed="false" customWidth="true" hidden="false" outlineLevel="0" max="9" min="9" style="0" width="83.35"/>
    <col collapsed="false" customWidth="true" hidden="false" outlineLevel="0" max="10" min="10" style="0" width="67.05"/>
    <col collapsed="false" customWidth="true" hidden="false" outlineLevel="0" max="11" min="11" style="0" width="44.14"/>
    <col collapsed="false" customWidth="true" hidden="false" outlineLevel="0" max="12" min="12" style="0" width="37.74"/>
    <col collapsed="false" customWidth="true" hidden="false" outlineLevel="0" max="13" min="13" style="0" width="34.44"/>
    <col collapsed="false" customWidth="true" hidden="false" outlineLevel="0" max="14" min="14" style="0" width="50.01"/>
    <col collapsed="false" customWidth="true" hidden="false" outlineLevel="0" max="15" min="15" style="0" width="68.32"/>
    <col collapsed="false" customWidth="true" hidden="false" outlineLevel="0" max="16" min="16" style="0" width="54.04"/>
    <col collapsed="false" customWidth="true" hidden="false" outlineLevel="0" max="17" min="17" style="0" width="21.98"/>
    <col collapsed="false" customWidth="true" hidden="false" outlineLevel="0" max="18" min="18" style="0" width="30.77"/>
    <col collapsed="false" customWidth="true" hidden="false" outlineLevel="0" max="19" min="19" style="0" width="19.79"/>
    <col collapsed="false" customWidth="true" hidden="false" outlineLevel="0" max="20" min="20" style="0" width="21.98"/>
    <col collapsed="false" customWidth="true" hidden="false" outlineLevel="0" max="21" min="21" style="0" width="17.59"/>
    <col collapsed="false" customWidth="true" hidden="false" outlineLevel="0" max="22" min="22" style="0" width="24.18"/>
    <col collapsed="false" customWidth="true" hidden="false" outlineLevel="0" max="23" min="23" style="0" width="17.59"/>
    <col collapsed="false" customWidth="true" hidden="false" outlineLevel="0" max="24" min="24" style="0" width="19.79"/>
    <col collapsed="false" customWidth="true" hidden="false" outlineLevel="0" max="25" min="25" style="0" width="21.98"/>
    <col collapsed="false" customWidth="true" hidden="false" outlineLevel="0" max="26" min="26" style="0" width="35.17"/>
    <col collapsed="false" customWidth="true" hidden="false" outlineLevel="0" max="27" min="27" style="0" width="21.98"/>
    <col collapsed="false" customWidth="true" hidden="false" outlineLevel="0" max="28" min="28" style="0" width="15.39"/>
    <col collapsed="false" customWidth="true" hidden="false" outlineLevel="0" max="29" min="29" style="0" width="17.59"/>
    <col collapsed="false" customWidth="true" hidden="false" outlineLevel="0" max="30" min="30" style="0" width="19.79"/>
    <col collapsed="false" customWidth="true" hidden="false" outlineLevel="0" max="31" min="31" style="0" width="24.18"/>
    <col collapsed="false" customWidth="true" hidden="false" outlineLevel="0" max="32" min="32" style="0" width="35.17"/>
    <col collapsed="false" customWidth="true" hidden="false" outlineLevel="0" max="33" min="33" style="0" width="63.75"/>
    <col collapsed="false" customWidth="true" hidden="false" outlineLevel="0" max="35" min="34" style="0" width="21.98"/>
  </cols>
  <sheetData>
    <row r="1" customFormat="false" ht="38" hidden="false" customHeight="tru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6" hidden="false" customHeight="false" outlineLevel="0" collapsed="false">
      <c r="A2" s="0" t="n">
        <v>1</v>
      </c>
      <c r="B2" s="0" t="s">
        <v>35</v>
      </c>
      <c r="C2" s="0" t="s">
        <v>36</v>
      </c>
      <c r="D2" s="1" t="s">
        <v>37</v>
      </c>
      <c r="E2" s="0" t="n">
        <v>3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  <c r="O2" s="0" t="s">
        <v>44</v>
      </c>
      <c r="P2" s="0" t="s">
        <v>44</v>
      </c>
      <c r="Q2" s="3" t="s">
        <v>47</v>
      </c>
      <c r="R2" s="3"/>
      <c r="S2" s="4"/>
      <c r="T2" s="5"/>
      <c r="U2" s="4"/>
      <c r="V2" s="5"/>
      <c r="W2" s="5"/>
      <c r="X2" s="4"/>
      <c r="Y2" s="5"/>
      <c r="Z2" s="3"/>
      <c r="AA2" s="3"/>
      <c r="AB2" s="6"/>
      <c r="AC2" s="7" t="n">
        <v>18000</v>
      </c>
      <c r="AD2" s="3" t="s">
        <v>48</v>
      </c>
      <c r="AE2" s="5" t="s">
        <v>49</v>
      </c>
      <c r="AF2" s="5" t="s">
        <v>50</v>
      </c>
      <c r="AG2" s="8" t="s">
        <v>51</v>
      </c>
      <c r="AH2" s="9" t="n">
        <f aca="false">IF(OR(J2="",J2="-"),"",LEN(J2)-LEN(SUBSTITUTE(J2,",",""))+1)</f>
        <v>5</v>
      </c>
      <c r="AI2" s="5" t="s">
        <v>52</v>
      </c>
    </row>
    <row r="3" customFormat="false" ht="16" hidden="false" customHeight="false" outlineLevel="0" collapsed="false">
      <c r="A3" s="0" t="n">
        <v>2</v>
      </c>
      <c r="B3" s="0" t="s">
        <v>53</v>
      </c>
      <c r="C3" s="0" t="s">
        <v>54</v>
      </c>
      <c r="D3" s="1" t="s">
        <v>55</v>
      </c>
      <c r="E3" s="0" t="n">
        <v>1</v>
      </c>
      <c r="F3" s="0" t="s">
        <v>56</v>
      </c>
      <c r="G3" s="0" t="s">
        <v>44</v>
      </c>
      <c r="H3" s="0" t="s">
        <v>40</v>
      </c>
      <c r="I3" s="0" t="s">
        <v>41</v>
      </c>
      <c r="J3" s="0" t="s">
        <v>57</v>
      </c>
      <c r="K3" s="0" t="s">
        <v>58</v>
      </c>
      <c r="L3" s="0" t="s">
        <v>59</v>
      </c>
      <c r="M3" s="0" t="s">
        <v>45</v>
      </c>
      <c r="N3" s="0" t="s">
        <v>60</v>
      </c>
      <c r="O3" s="0" t="s">
        <v>44</v>
      </c>
      <c r="P3" s="0" t="s">
        <v>44</v>
      </c>
      <c r="Q3" s="3"/>
      <c r="R3" s="3"/>
      <c r="S3" s="4"/>
      <c r="T3" s="5"/>
      <c r="U3" s="4"/>
      <c r="V3" s="5"/>
      <c r="W3" s="5"/>
      <c r="X3" s="4"/>
      <c r="Y3" s="5"/>
      <c r="Z3" s="3"/>
      <c r="AA3" s="3"/>
      <c r="AB3" s="6"/>
      <c r="AC3" s="7"/>
      <c r="AD3" s="3"/>
      <c r="AE3" s="5"/>
      <c r="AF3" s="5"/>
      <c r="AG3" s="8"/>
      <c r="AH3" s="9" t="n">
        <f aca="false">IF(OR(J3="",J3="-"),"",LEN(J3)-LEN(SUBSTITUTE(J3,",",""))+1)</f>
        <v>4</v>
      </c>
      <c r="AI3" s="5"/>
    </row>
    <row r="4" customFormat="false" ht="16" hidden="false" customHeight="false" outlineLevel="0" collapsed="false">
      <c r="A4" s="0" t="n">
        <v>3</v>
      </c>
      <c r="B4" s="0" t="s">
        <v>61</v>
      </c>
      <c r="C4" s="0" t="s">
        <v>62</v>
      </c>
      <c r="D4" s="10" t="n">
        <v>42644</v>
      </c>
      <c r="E4" s="0" t="n">
        <v>2</v>
      </c>
      <c r="F4" s="0" t="s">
        <v>38</v>
      </c>
      <c r="G4" s="0" t="s">
        <v>63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45</v>
      </c>
      <c r="N4" s="0" t="s">
        <v>69</v>
      </c>
      <c r="O4" s="0" t="s">
        <v>44</v>
      </c>
      <c r="P4" s="0" t="s">
        <v>44</v>
      </c>
      <c r="Q4" s="3" t="s">
        <v>70</v>
      </c>
      <c r="R4" s="3" t="s">
        <v>71</v>
      </c>
      <c r="S4" s="4"/>
      <c r="T4" s="5"/>
      <c r="U4" s="4"/>
      <c r="V4" s="5"/>
      <c r="W4" s="5"/>
      <c r="X4" s="4"/>
      <c r="Y4" s="5"/>
      <c r="Z4" s="3"/>
      <c r="AA4" s="3"/>
      <c r="AB4" s="6"/>
      <c r="AC4" s="7"/>
      <c r="AD4" s="3"/>
      <c r="AE4" s="5" t="s">
        <v>49</v>
      </c>
      <c r="AF4" s="5" t="s">
        <v>72</v>
      </c>
      <c r="AG4" s="8" t="s">
        <v>70</v>
      </c>
      <c r="AH4" s="9" t="n">
        <f aca="false">IF(OR(J4="",J4="-"),"",LEN(J4)-LEN(SUBSTITUTE(J4,",",""))+1)</f>
        <v>6</v>
      </c>
      <c r="AI4" s="5" t="s">
        <v>52</v>
      </c>
    </row>
    <row r="5" customFormat="false" ht="25.35" hidden="false" customHeight="false" outlineLevel="0" collapsed="false">
      <c r="A5" s="0" t="n">
        <v>4</v>
      </c>
      <c r="B5" s="0" t="s">
        <v>73</v>
      </c>
      <c r="C5" s="0" t="s">
        <v>74</v>
      </c>
      <c r="D5" s="10" t="n">
        <v>42675</v>
      </c>
      <c r="E5" s="0" t="n">
        <v>3</v>
      </c>
      <c r="F5" s="0" t="s">
        <v>38</v>
      </c>
      <c r="G5" s="0" t="s">
        <v>75</v>
      </c>
      <c r="H5" s="0" t="s">
        <v>76</v>
      </c>
      <c r="I5" s="0" t="s">
        <v>77</v>
      </c>
      <c r="J5" s="0" t="s">
        <v>78</v>
      </c>
      <c r="K5" s="0" t="s">
        <v>79</v>
      </c>
      <c r="L5" s="0" t="s">
        <v>80</v>
      </c>
      <c r="M5" s="0" t="s">
        <v>45</v>
      </c>
      <c r="N5" s="0" t="s">
        <v>81</v>
      </c>
      <c r="O5" s="0" t="s">
        <v>44</v>
      </c>
      <c r="P5" s="0" t="s">
        <v>44</v>
      </c>
      <c r="Q5" s="3" t="s">
        <v>47</v>
      </c>
      <c r="R5" s="3" t="s">
        <v>82</v>
      </c>
      <c r="S5" s="4"/>
      <c r="T5" s="5"/>
      <c r="U5" s="4" t="n">
        <v>100000</v>
      </c>
      <c r="V5" s="5" t="s">
        <v>83</v>
      </c>
      <c r="W5" s="5"/>
      <c r="X5" s="4"/>
      <c r="Y5" s="5"/>
      <c r="Z5" s="3" t="s">
        <v>84</v>
      </c>
      <c r="AA5" s="3" t="s">
        <v>85</v>
      </c>
      <c r="AB5" s="6" t="n">
        <v>0</v>
      </c>
      <c r="AC5" s="7"/>
      <c r="AD5" s="3"/>
      <c r="AE5" s="5" t="s">
        <v>49</v>
      </c>
      <c r="AF5" s="5" t="s">
        <v>86</v>
      </c>
      <c r="AG5" s="8" t="s">
        <v>87</v>
      </c>
      <c r="AH5" s="9" t="n">
        <f aca="false">IF(OR(J5="",J5="-"),"",LEN(J5)-LEN(SUBSTITUTE(J5,",",""))+1)</f>
        <v>4</v>
      </c>
      <c r="AI5" s="5" t="s">
        <v>52</v>
      </c>
    </row>
    <row r="6" customFormat="false" ht="16" hidden="false" customHeight="false" outlineLevel="0" collapsed="false">
      <c r="A6" s="0" t="n">
        <v>5</v>
      </c>
      <c r="B6" s="0" t="s">
        <v>88</v>
      </c>
      <c r="C6" s="0" t="s">
        <v>89</v>
      </c>
      <c r="D6" s="10" t="n">
        <v>42767</v>
      </c>
      <c r="E6" s="0" t="n">
        <v>2</v>
      </c>
      <c r="F6" s="0" t="s">
        <v>38</v>
      </c>
      <c r="G6" s="0" t="s">
        <v>44</v>
      </c>
      <c r="H6" s="0" t="s">
        <v>40</v>
      </c>
      <c r="I6" s="0" t="s">
        <v>90</v>
      </c>
      <c r="J6" s="0" t="s">
        <v>91</v>
      </c>
      <c r="K6" s="0" t="s">
        <v>92</v>
      </c>
      <c r="L6" s="0" t="s">
        <v>69</v>
      </c>
      <c r="M6" s="0" t="s">
        <v>45</v>
      </c>
      <c r="N6" s="0" t="s">
        <v>69</v>
      </c>
      <c r="O6" s="0" t="s">
        <v>44</v>
      </c>
      <c r="P6" s="0" t="s">
        <v>44</v>
      </c>
      <c r="Q6" s="3"/>
      <c r="R6" s="3"/>
      <c r="S6" s="4"/>
      <c r="T6" s="5"/>
      <c r="U6" s="4"/>
      <c r="V6" s="5"/>
      <c r="W6" s="5"/>
      <c r="X6" s="4"/>
      <c r="Y6" s="5"/>
      <c r="Z6" s="3"/>
      <c r="AA6" s="3"/>
      <c r="AB6" s="6"/>
      <c r="AC6" s="7"/>
      <c r="AD6" s="3"/>
      <c r="AE6" s="5"/>
      <c r="AF6" s="5"/>
      <c r="AG6" s="8"/>
      <c r="AH6" s="9" t="n">
        <f aca="false">IF(OR(J6="",J6="-"),"",LEN(J6)-LEN(SUBSTITUTE(J6,",",""))+1)</f>
        <v>4</v>
      </c>
      <c r="AI6" s="5"/>
    </row>
    <row r="7" customFormat="false" ht="16" hidden="false" customHeight="false" outlineLevel="0" collapsed="false">
      <c r="A7" s="0" t="n">
        <v>6</v>
      </c>
      <c r="B7" s="0" t="s">
        <v>93</v>
      </c>
      <c r="C7" s="0" t="s">
        <v>94</v>
      </c>
      <c r="D7" s="1" t="s">
        <v>95</v>
      </c>
      <c r="E7" s="0" t="n">
        <v>3</v>
      </c>
      <c r="F7" s="0" t="s">
        <v>96</v>
      </c>
      <c r="G7" s="0" t="s">
        <v>44</v>
      </c>
      <c r="H7" s="0" t="s">
        <v>76</v>
      </c>
      <c r="I7" s="0" t="s">
        <v>77</v>
      </c>
      <c r="J7" s="0" t="s">
        <v>97</v>
      </c>
      <c r="K7" s="0" t="s">
        <v>79</v>
      </c>
      <c r="L7" s="0" t="s">
        <v>80</v>
      </c>
      <c r="M7" s="0" t="s">
        <v>45</v>
      </c>
      <c r="N7" s="0" t="s">
        <v>98</v>
      </c>
      <c r="O7" s="0" t="s">
        <v>44</v>
      </c>
      <c r="P7" s="0" t="s">
        <v>44</v>
      </c>
      <c r="Q7" s="3"/>
      <c r="R7" s="3"/>
      <c r="S7" s="4"/>
      <c r="T7" s="5"/>
      <c r="U7" s="4"/>
      <c r="V7" s="5"/>
      <c r="W7" s="5"/>
      <c r="X7" s="4"/>
      <c r="Y7" s="5"/>
      <c r="Z7" s="3"/>
      <c r="AA7" s="3"/>
      <c r="AB7" s="6"/>
      <c r="AC7" s="7"/>
      <c r="AD7" s="3"/>
      <c r="AE7" s="5"/>
      <c r="AF7" s="5"/>
      <c r="AG7" s="8"/>
      <c r="AH7" s="9" t="n">
        <f aca="false">IF(OR(J7="",J7="-"),"",LEN(J7)-LEN(SUBSTITUTE(J7,",",""))+1)</f>
        <v>5</v>
      </c>
      <c r="AI7" s="5"/>
    </row>
    <row r="8" customFormat="false" ht="16" hidden="false" customHeight="false" outlineLevel="0" collapsed="false">
      <c r="A8" s="0" t="n">
        <v>7</v>
      </c>
      <c r="B8" s="0" t="s">
        <v>99</v>
      </c>
      <c r="C8" s="0" t="s">
        <v>100</v>
      </c>
      <c r="D8" s="10" t="n">
        <v>42826</v>
      </c>
      <c r="E8" s="0" t="n">
        <v>2</v>
      </c>
      <c r="F8" s="0" t="s">
        <v>38</v>
      </c>
      <c r="G8" s="0" t="s">
        <v>44</v>
      </c>
      <c r="H8" s="0" t="s">
        <v>101</v>
      </c>
      <c r="I8" s="0" t="s">
        <v>102</v>
      </c>
      <c r="J8" s="0" t="s">
        <v>103</v>
      </c>
      <c r="K8" s="0" t="s">
        <v>104</v>
      </c>
      <c r="L8" s="0" t="s">
        <v>44</v>
      </c>
      <c r="M8" s="0" t="s">
        <v>45</v>
      </c>
      <c r="N8" s="0" t="s">
        <v>105</v>
      </c>
      <c r="O8" s="0" t="s">
        <v>44</v>
      </c>
      <c r="P8" s="0" t="s">
        <v>44</v>
      </c>
      <c r="Q8" s="3"/>
      <c r="R8" s="3"/>
      <c r="S8" s="4"/>
      <c r="T8" s="5"/>
      <c r="U8" s="4"/>
      <c r="V8" s="5"/>
      <c r="W8" s="5"/>
      <c r="X8" s="4"/>
      <c r="Y8" s="5"/>
      <c r="Z8" s="3"/>
      <c r="AA8" s="3"/>
      <c r="AB8" s="6"/>
      <c r="AC8" s="7"/>
      <c r="AD8" s="3"/>
      <c r="AE8" s="5"/>
      <c r="AF8" s="5"/>
      <c r="AG8" s="8"/>
      <c r="AH8" s="9" t="n">
        <f aca="false">IF(OR(J8="",J8="-"),"",LEN(J8)-LEN(SUBSTITUTE(J8,",",""))+1)</f>
        <v>4</v>
      </c>
      <c r="AI8" s="5"/>
    </row>
    <row r="9" customFormat="false" ht="16" hidden="false" customHeight="false" outlineLevel="0" collapsed="false">
      <c r="A9" s="0" t="n">
        <v>8</v>
      </c>
      <c r="B9" s="0" t="s">
        <v>106</v>
      </c>
      <c r="C9" s="0" t="s">
        <v>69</v>
      </c>
      <c r="D9" s="10" t="n">
        <v>42856</v>
      </c>
      <c r="E9" s="0" t="n">
        <v>2</v>
      </c>
      <c r="F9" s="0" t="s">
        <v>38</v>
      </c>
      <c r="G9" s="0" t="s">
        <v>44</v>
      </c>
      <c r="H9" s="0" t="s">
        <v>107</v>
      </c>
      <c r="I9" s="0" t="s">
        <v>108</v>
      </c>
      <c r="J9" s="0" t="s">
        <v>109</v>
      </c>
      <c r="K9" s="0" t="s">
        <v>110</v>
      </c>
      <c r="L9" s="0" t="s">
        <v>44</v>
      </c>
      <c r="M9" s="0" t="s">
        <v>45</v>
      </c>
      <c r="N9" s="0" t="s">
        <v>69</v>
      </c>
      <c r="O9" s="0" t="s">
        <v>44</v>
      </c>
      <c r="P9" s="0" t="s">
        <v>44</v>
      </c>
      <c r="Q9" s="3"/>
      <c r="R9" s="3"/>
      <c r="S9" s="4"/>
      <c r="T9" s="5"/>
      <c r="U9" s="4"/>
      <c r="V9" s="5"/>
      <c r="W9" s="5"/>
      <c r="X9" s="4"/>
      <c r="Y9" s="5"/>
      <c r="Z9" s="3"/>
      <c r="AA9" s="3"/>
      <c r="AB9" s="6"/>
      <c r="AC9" s="7"/>
      <c r="AD9" s="3"/>
      <c r="AE9" s="5"/>
      <c r="AF9" s="5"/>
      <c r="AG9" s="8"/>
      <c r="AH9" s="9" t="n">
        <f aca="false">IF(OR(J9="",J9="-"),"",LEN(J9)-LEN(SUBSTITUTE(J9,",",""))+1)</f>
        <v>3</v>
      </c>
      <c r="AI9" s="5"/>
    </row>
    <row r="10" customFormat="false" ht="16" hidden="false" customHeight="false" outlineLevel="0" collapsed="false">
      <c r="A10" s="0" t="n">
        <v>9</v>
      </c>
      <c r="B10" s="0" t="s">
        <v>111</v>
      </c>
      <c r="C10" s="0" t="s">
        <v>112</v>
      </c>
      <c r="D10" s="10" t="n">
        <v>42856</v>
      </c>
      <c r="E10" s="0" t="n">
        <v>2</v>
      </c>
      <c r="F10" s="0" t="s">
        <v>38</v>
      </c>
      <c r="G10" s="0" t="s">
        <v>44</v>
      </c>
      <c r="H10" s="0" t="s">
        <v>107</v>
      </c>
      <c r="I10" s="0" t="s">
        <v>113</v>
      </c>
      <c r="J10" s="0" t="s">
        <v>114</v>
      </c>
      <c r="K10" s="0" t="s">
        <v>115</v>
      </c>
      <c r="L10" s="0" t="s">
        <v>44</v>
      </c>
      <c r="M10" s="0" t="s">
        <v>45</v>
      </c>
      <c r="N10" s="0" t="s">
        <v>116</v>
      </c>
      <c r="O10" s="0" t="s">
        <v>44</v>
      </c>
      <c r="P10" s="0" t="s">
        <v>44</v>
      </c>
      <c r="Q10" s="3"/>
      <c r="R10" s="3"/>
      <c r="S10" s="4"/>
      <c r="T10" s="5"/>
      <c r="U10" s="4"/>
      <c r="V10" s="5"/>
      <c r="W10" s="5"/>
      <c r="X10" s="4"/>
      <c r="Y10" s="5"/>
      <c r="Z10" s="3"/>
      <c r="AA10" s="3"/>
      <c r="AB10" s="6"/>
      <c r="AC10" s="7"/>
      <c r="AD10" s="3"/>
      <c r="AE10" s="5"/>
      <c r="AF10" s="5"/>
      <c r="AG10" s="8"/>
      <c r="AH10" s="9" t="n">
        <f aca="false">IF(OR(J10="",J10="-"),"",LEN(J10)-LEN(SUBSTITUTE(J10,",",""))+1)</f>
        <v>4</v>
      </c>
      <c r="AI10" s="5"/>
    </row>
    <row r="11" customFormat="false" ht="16" hidden="false" customHeight="false" outlineLevel="0" collapsed="false">
      <c r="A11" s="0" t="n">
        <v>10</v>
      </c>
      <c r="B11" s="0" t="s">
        <v>117</v>
      </c>
      <c r="C11" s="0" t="s">
        <v>118</v>
      </c>
      <c r="D11" s="10" t="n">
        <v>42979</v>
      </c>
      <c r="E11" s="0" t="n">
        <v>2</v>
      </c>
      <c r="F11" s="0" t="s">
        <v>38</v>
      </c>
      <c r="G11" s="0" t="s">
        <v>119</v>
      </c>
      <c r="H11" s="0" t="s">
        <v>120</v>
      </c>
      <c r="I11" s="0" t="s">
        <v>121</v>
      </c>
      <c r="J11" s="0" t="s">
        <v>122</v>
      </c>
      <c r="K11" s="0" t="s">
        <v>123</v>
      </c>
      <c r="L11" s="0" t="s">
        <v>124</v>
      </c>
      <c r="M11" s="0" t="s">
        <v>45</v>
      </c>
      <c r="N11" s="0" t="s">
        <v>125</v>
      </c>
      <c r="O11" s="0" t="s">
        <v>44</v>
      </c>
      <c r="P11" s="0" t="s">
        <v>44</v>
      </c>
      <c r="Q11" s="3" t="s">
        <v>70</v>
      </c>
      <c r="R11" s="3" t="s">
        <v>71</v>
      </c>
      <c r="S11" s="4"/>
      <c r="T11" s="5"/>
      <c r="U11" s="4"/>
      <c r="V11" s="5"/>
      <c r="W11" s="5"/>
      <c r="X11" s="4"/>
      <c r="Y11" s="5"/>
      <c r="Z11" s="3"/>
      <c r="AA11" s="3"/>
      <c r="AB11" s="6"/>
      <c r="AC11" s="7"/>
      <c r="AD11" s="3"/>
      <c r="AE11" s="5" t="s">
        <v>49</v>
      </c>
      <c r="AF11" s="5" t="s">
        <v>72</v>
      </c>
      <c r="AG11" s="8" t="s">
        <v>70</v>
      </c>
      <c r="AH11" s="9" t="n">
        <f aca="false">IF(OR(J11="",J11="-"),"",LEN(J11)-LEN(SUBSTITUTE(J11,",",""))+1)</f>
        <v>3</v>
      </c>
      <c r="AI11" s="5" t="s">
        <v>52</v>
      </c>
    </row>
    <row r="12" customFormat="false" ht="16" hidden="false" customHeight="false" outlineLevel="0" collapsed="false">
      <c r="A12" s="0" t="n">
        <v>11</v>
      </c>
      <c r="B12" s="0" t="s">
        <v>126</v>
      </c>
      <c r="C12" s="0" t="s">
        <v>127</v>
      </c>
      <c r="D12" s="10" t="n">
        <v>43009</v>
      </c>
      <c r="E12" s="0" t="n">
        <v>2</v>
      </c>
      <c r="F12" s="0" t="s">
        <v>38</v>
      </c>
      <c r="G12" s="0" t="s">
        <v>44</v>
      </c>
      <c r="H12" s="0" t="s">
        <v>128</v>
      </c>
      <c r="I12" s="0" t="s">
        <v>129</v>
      </c>
      <c r="J12" s="0" t="s">
        <v>130</v>
      </c>
      <c r="K12" s="0" t="s">
        <v>131</v>
      </c>
      <c r="L12" s="0" t="s">
        <v>44</v>
      </c>
      <c r="M12" s="0" t="s">
        <v>45</v>
      </c>
      <c r="N12" s="0" t="s">
        <v>127</v>
      </c>
      <c r="O12" s="0" t="s">
        <v>44</v>
      </c>
      <c r="P12" s="0" t="s">
        <v>44</v>
      </c>
      <c r="Q12" s="3"/>
      <c r="R12" s="3"/>
      <c r="S12" s="4"/>
      <c r="T12" s="5"/>
      <c r="U12" s="4"/>
      <c r="V12" s="5"/>
      <c r="W12" s="5"/>
      <c r="X12" s="4"/>
      <c r="Y12" s="5"/>
      <c r="Z12" s="3"/>
      <c r="AA12" s="3"/>
      <c r="AB12" s="6"/>
      <c r="AC12" s="7"/>
      <c r="AD12" s="3"/>
      <c r="AE12" s="5"/>
      <c r="AF12" s="5"/>
      <c r="AG12" s="8"/>
      <c r="AH12" s="9" t="n">
        <f aca="false">IF(OR(J12="",J12="-"),"",LEN(J12)-LEN(SUBSTITUTE(J12,",",""))+1)</f>
        <v>4</v>
      </c>
      <c r="AI12" s="5"/>
    </row>
    <row r="13" customFormat="false" ht="16" hidden="false" customHeight="false" outlineLevel="0" collapsed="false">
      <c r="A13" s="0" t="n">
        <v>12</v>
      </c>
      <c r="B13" s="0" t="s">
        <v>132</v>
      </c>
      <c r="C13" s="0" t="s">
        <v>133</v>
      </c>
      <c r="D13" s="10" t="n">
        <v>43009</v>
      </c>
      <c r="E13" s="0" t="n">
        <v>2</v>
      </c>
      <c r="F13" s="0" t="s">
        <v>38</v>
      </c>
      <c r="G13" s="0" t="s">
        <v>44</v>
      </c>
      <c r="H13" s="0" t="s">
        <v>128</v>
      </c>
      <c r="I13" s="0" t="s">
        <v>134</v>
      </c>
      <c r="J13" s="0" t="s">
        <v>135</v>
      </c>
      <c r="K13" s="0" t="s">
        <v>136</v>
      </c>
      <c r="L13" s="0" t="s">
        <v>137</v>
      </c>
      <c r="M13" s="0" t="s">
        <v>45</v>
      </c>
      <c r="N13" s="0" t="s">
        <v>133</v>
      </c>
      <c r="O13" s="0" t="s">
        <v>44</v>
      </c>
      <c r="P13" s="0" t="s">
        <v>44</v>
      </c>
      <c r="Q13" s="3"/>
      <c r="R13" s="3"/>
      <c r="S13" s="4"/>
      <c r="T13" s="5"/>
      <c r="U13" s="4"/>
      <c r="V13" s="5"/>
      <c r="W13" s="5"/>
      <c r="X13" s="4"/>
      <c r="Y13" s="5"/>
      <c r="Z13" s="3"/>
      <c r="AA13" s="3"/>
      <c r="AB13" s="6"/>
      <c r="AC13" s="7"/>
      <c r="AD13" s="3"/>
      <c r="AE13" s="5"/>
      <c r="AF13" s="5"/>
      <c r="AG13" s="8"/>
      <c r="AH13" s="9" t="n">
        <f aca="false">IF(OR(J13="",J13="-"),"",LEN(J13)-LEN(SUBSTITUTE(J13,",",""))+1)</f>
        <v>4</v>
      </c>
      <c r="AI13" s="5"/>
    </row>
    <row r="14" customFormat="false" ht="16" hidden="false" customHeight="false" outlineLevel="0" collapsed="false">
      <c r="A14" s="0" t="n">
        <v>13</v>
      </c>
      <c r="B14" s="0" t="s">
        <v>138</v>
      </c>
      <c r="C14" s="0" t="s">
        <v>69</v>
      </c>
      <c r="D14" s="10" t="n">
        <v>43101</v>
      </c>
      <c r="E14" s="0" t="n">
        <v>2</v>
      </c>
      <c r="F14" s="0" t="s">
        <v>38</v>
      </c>
      <c r="G14" s="0" t="s">
        <v>44</v>
      </c>
      <c r="H14" s="0" t="s">
        <v>139</v>
      </c>
      <c r="I14" s="0" t="s">
        <v>140</v>
      </c>
      <c r="J14" s="0" t="s">
        <v>141</v>
      </c>
      <c r="K14" s="0" t="s">
        <v>142</v>
      </c>
      <c r="L14" s="0" t="s">
        <v>44</v>
      </c>
      <c r="M14" s="0" t="s">
        <v>45</v>
      </c>
      <c r="N14" s="0" t="s">
        <v>69</v>
      </c>
      <c r="O14" s="0" t="s">
        <v>44</v>
      </c>
      <c r="P14" s="0" t="s">
        <v>44</v>
      </c>
      <c r="Q14" s="3"/>
      <c r="R14" s="3"/>
      <c r="S14" s="4"/>
      <c r="T14" s="5"/>
      <c r="U14" s="4"/>
      <c r="V14" s="5"/>
      <c r="W14" s="5"/>
      <c r="X14" s="4"/>
      <c r="Y14" s="5"/>
      <c r="Z14" s="3"/>
      <c r="AA14" s="3"/>
      <c r="AB14" s="6"/>
      <c r="AC14" s="7"/>
      <c r="AD14" s="3"/>
      <c r="AE14" s="5"/>
      <c r="AF14" s="5"/>
      <c r="AG14" s="8"/>
      <c r="AH14" s="9" t="n">
        <f aca="false">IF(OR(J14="",J14="-"),"",LEN(J14)-LEN(SUBSTITUTE(J14,",",""))+1)</f>
        <v>2</v>
      </c>
      <c r="AI14" s="5"/>
    </row>
    <row r="15" customFormat="false" ht="16" hidden="false" customHeight="false" outlineLevel="0" collapsed="false">
      <c r="A15" s="0" t="n">
        <v>14</v>
      </c>
      <c r="B15" s="0" t="s">
        <v>143</v>
      </c>
      <c r="C15" s="0" t="s">
        <v>144</v>
      </c>
      <c r="D15" s="10" t="n">
        <v>43160</v>
      </c>
      <c r="E15" s="0" t="n">
        <v>1</v>
      </c>
      <c r="F15" s="0" t="s">
        <v>38</v>
      </c>
      <c r="G15" s="0" t="s">
        <v>145</v>
      </c>
      <c r="H15" s="0" t="s">
        <v>146</v>
      </c>
      <c r="I15" s="0" t="s">
        <v>147</v>
      </c>
      <c r="J15" s="0" t="s">
        <v>148</v>
      </c>
      <c r="K15" s="0" t="s">
        <v>149</v>
      </c>
      <c r="L15" s="0" t="s">
        <v>44</v>
      </c>
      <c r="M15" s="0" t="s">
        <v>45</v>
      </c>
      <c r="N15" s="0" t="s">
        <v>144</v>
      </c>
      <c r="O15" s="0" t="s">
        <v>44</v>
      </c>
      <c r="P15" s="0" t="s">
        <v>44</v>
      </c>
      <c r="Q15" s="3" t="s">
        <v>150</v>
      </c>
      <c r="R15" s="3"/>
      <c r="S15" s="4" t="n">
        <v>100</v>
      </c>
      <c r="T15" s="5" t="s">
        <v>48</v>
      </c>
      <c r="U15" s="4"/>
      <c r="V15" s="5"/>
      <c r="W15" s="5"/>
      <c r="X15" s="4"/>
      <c r="Y15" s="5"/>
      <c r="Z15" s="3" t="s">
        <v>151</v>
      </c>
      <c r="AA15" s="3"/>
      <c r="AB15" s="6"/>
      <c r="AC15" s="7"/>
      <c r="AD15" s="3"/>
      <c r="AE15" s="5" t="s">
        <v>152</v>
      </c>
      <c r="AF15" s="5" t="s">
        <v>153</v>
      </c>
      <c r="AG15" s="8" t="s">
        <v>154</v>
      </c>
      <c r="AH15" s="9" t="n">
        <f aca="false">IF(OR(J15="",J15="-"),"",LEN(J15)-LEN(SUBSTITUTE(J15,",",""))+1)</f>
        <v>2</v>
      </c>
      <c r="AI15" s="5" t="s">
        <v>155</v>
      </c>
    </row>
    <row r="16" customFormat="false" ht="16" hidden="false" customHeight="false" outlineLevel="0" collapsed="false">
      <c r="A16" s="0" t="n">
        <v>15</v>
      </c>
      <c r="B16" s="0" t="s">
        <v>156</v>
      </c>
      <c r="C16" s="0" t="s">
        <v>157</v>
      </c>
      <c r="D16" s="10" t="n">
        <v>43160</v>
      </c>
      <c r="E16" s="0" t="n">
        <v>2</v>
      </c>
      <c r="F16" s="0" t="s">
        <v>38</v>
      </c>
      <c r="G16" s="0" t="s">
        <v>44</v>
      </c>
      <c r="H16" s="0" t="s">
        <v>158</v>
      </c>
      <c r="I16" s="0" t="s">
        <v>159</v>
      </c>
      <c r="J16" s="0" t="s">
        <v>160</v>
      </c>
      <c r="K16" s="0" t="s">
        <v>161</v>
      </c>
      <c r="L16" s="0" t="s">
        <v>157</v>
      </c>
      <c r="M16" s="0" t="s">
        <v>45</v>
      </c>
      <c r="N16" s="0" t="s">
        <v>60</v>
      </c>
      <c r="O16" s="0" t="s">
        <v>44</v>
      </c>
      <c r="P16" s="0" t="s">
        <v>44</v>
      </c>
      <c r="Q16" s="3"/>
      <c r="R16" s="3"/>
      <c r="S16" s="4"/>
      <c r="T16" s="5"/>
      <c r="U16" s="4"/>
      <c r="V16" s="5"/>
      <c r="W16" s="5"/>
      <c r="X16" s="4"/>
      <c r="Y16" s="5"/>
      <c r="Z16" s="3"/>
      <c r="AA16" s="3"/>
      <c r="AB16" s="6"/>
      <c r="AC16" s="7"/>
      <c r="AD16" s="3"/>
      <c r="AE16" s="5"/>
      <c r="AF16" s="5"/>
      <c r="AG16" s="8"/>
      <c r="AH16" s="9" t="n">
        <f aca="false">IF(OR(J16="",J16="-"),"",LEN(J16)-LEN(SUBSTITUTE(J16,",",""))+1)</f>
        <v>3</v>
      </c>
      <c r="AI16" s="5"/>
    </row>
    <row r="17" customFormat="false" ht="16" hidden="false" customHeight="false" outlineLevel="0" collapsed="false">
      <c r="A17" s="0" t="n">
        <v>16</v>
      </c>
      <c r="B17" s="0" t="s">
        <v>162</v>
      </c>
      <c r="C17" s="0" t="s">
        <v>163</v>
      </c>
      <c r="D17" s="10" t="n">
        <v>43191</v>
      </c>
      <c r="E17" s="0" t="n">
        <v>2</v>
      </c>
      <c r="F17" s="0" t="s">
        <v>38</v>
      </c>
      <c r="G17" s="0" t="s">
        <v>44</v>
      </c>
      <c r="H17" s="0" t="s">
        <v>164</v>
      </c>
      <c r="I17" s="0" t="s">
        <v>165</v>
      </c>
      <c r="J17" s="0" t="s">
        <v>166</v>
      </c>
      <c r="K17" s="0" t="s">
        <v>167</v>
      </c>
      <c r="L17" s="0" t="s">
        <v>44</v>
      </c>
      <c r="M17" s="0" t="s">
        <v>45</v>
      </c>
      <c r="N17" s="0" t="s">
        <v>168</v>
      </c>
      <c r="O17" s="0" t="s">
        <v>44</v>
      </c>
      <c r="P17" s="0" t="s">
        <v>44</v>
      </c>
      <c r="Q17" s="3"/>
      <c r="R17" s="3"/>
      <c r="S17" s="4"/>
      <c r="T17" s="5"/>
      <c r="U17" s="4"/>
      <c r="V17" s="5"/>
      <c r="W17" s="5"/>
      <c r="X17" s="4"/>
      <c r="Y17" s="5"/>
      <c r="Z17" s="3"/>
      <c r="AA17" s="3"/>
      <c r="AB17" s="6"/>
      <c r="AC17" s="7"/>
      <c r="AD17" s="3"/>
      <c r="AE17" s="5"/>
      <c r="AF17" s="5"/>
      <c r="AG17" s="8"/>
      <c r="AH17" s="9" t="n">
        <f aca="false">IF(OR(J17="",J17="-"),"",LEN(J17)-LEN(SUBSTITUTE(J17,",",""))+1)</f>
        <v>2</v>
      </c>
      <c r="AI17" s="5"/>
    </row>
    <row r="18" customFormat="false" ht="16" hidden="false" customHeight="false" outlineLevel="0" collapsed="false">
      <c r="A18" s="0" t="n">
        <v>17</v>
      </c>
      <c r="B18" s="0" t="s">
        <v>169</v>
      </c>
      <c r="C18" s="0" t="s">
        <v>170</v>
      </c>
      <c r="D18" s="10" t="n">
        <v>43252</v>
      </c>
      <c r="E18" s="0" t="n">
        <v>2</v>
      </c>
      <c r="F18" s="0" t="s">
        <v>38</v>
      </c>
      <c r="G18" s="0" t="s">
        <v>171</v>
      </c>
      <c r="H18" s="0" t="s">
        <v>172</v>
      </c>
      <c r="I18" s="0" t="s">
        <v>173</v>
      </c>
      <c r="J18" s="0" t="s">
        <v>174</v>
      </c>
      <c r="K18" s="0" t="s">
        <v>175</v>
      </c>
      <c r="L18" s="0" t="s">
        <v>44</v>
      </c>
      <c r="M18" s="0" t="s">
        <v>45</v>
      </c>
      <c r="N18" s="0" t="s">
        <v>176</v>
      </c>
      <c r="O18" s="0" t="s">
        <v>44</v>
      </c>
      <c r="P18" s="0" t="s">
        <v>44</v>
      </c>
      <c r="Q18" s="3" t="s">
        <v>177</v>
      </c>
      <c r="R18" s="3"/>
      <c r="S18" s="4" t="n">
        <v>600</v>
      </c>
      <c r="T18" s="5" t="s">
        <v>48</v>
      </c>
      <c r="U18" s="4"/>
      <c r="V18" s="5"/>
      <c r="W18" s="5"/>
      <c r="X18" s="4"/>
      <c r="Y18" s="5"/>
      <c r="Z18" s="3"/>
      <c r="AA18" s="3"/>
      <c r="AB18" s="6"/>
      <c r="AC18" s="7"/>
      <c r="AD18" s="3"/>
      <c r="AE18" s="5" t="s">
        <v>152</v>
      </c>
      <c r="AF18" s="5" t="s">
        <v>178</v>
      </c>
      <c r="AG18" s="8" t="s">
        <v>179</v>
      </c>
      <c r="AH18" s="9" t="n">
        <f aca="false">IF(OR(J18="",J18="-"),"",LEN(J18)-LEN(SUBSTITUTE(J18,",",""))+1)</f>
        <v>3</v>
      </c>
      <c r="AI18" s="5" t="s">
        <v>52</v>
      </c>
    </row>
    <row r="19" customFormat="false" ht="16" hidden="false" customHeight="false" outlineLevel="0" collapsed="false">
      <c r="A19" s="0" t="n">
        <v>18</v>
      </c>
      <c r="B19" s="0" t="s">
        <v>180</v>
      </c>
      <c r="C19" s="0" t="s">
        <v>181</v>
      </c>
      <c r="D19" s="1" t="s">
        <v>182</v>
      </c>
      <c r="E19" s="0" t="n">
        <v>2</v>
      </c>
      <c r="F19" s="0" t="s">
        <v>38</v>
      </c>
      <c r="G19" s="0" t="s">
        <v>44</v>
      </c>
      <c r="H19" s="0" t="s">
        <v>183</v>
      </c>
      <c r="I19" s="0" t="s">
        <v>184</v>
      </c>
      <c r="J19" s="0" t="s">
        <v>185</v>
      </c>
      <c r="K19" s="0" t="s">
        <v>186</v>
      </c>
      <c r="L19" s="0" t="s">
        <v>44</v>
      </c>
      <c r="M19" s="0" t="s">
        <v>45</v>
      </c>
      <c r="N19" s="0" t="s">
        <v>187</v>
      </c>
      <c r="O19" s="0" t="s">
        <v>44</v>
      </c>
      <c r="P19" s="0" t="s">
        <v>44</v>
      </c>
      <c r="Q19" s="3"/>
      <c r="R19" s="3"/>
      <c r="S19" s="4"/>
      <c r="T19" s="5"/>
      <c r="U19" s="4"/>
      <c r="V19" s="5"/>
      <c r="W19" s="5"/>
      <c r="X19" s="4"/>
      <c r="Y19" s="5"/>
      <c r="Z19" s="3"/>
      <c r="AA19" s="3"/>
      <c r="AB19" s="6"/>
      <c r="AC19" s="7"/>
      <c r="AD19" s="3"/>
      <c r="AE19" s="5"/>
      <c r="AF19" s="5"/>
      <c r="AG19" s="8"/>
      <c r="AH19" s="9" t="n">
        <f aca="false">IF(OR(J19="",J19="-"),"",LEN(J19)-LEN(SUBSTITUTE(J19,",",""))+1)</f>
        <v>4</v>
      </c>
      <c r="AI19" s="5"/>
    </row>
    <row r="20" customFormat="false" ht="16" hidden="false" customHeight="false" outlineLevel="0" collapsed="false">
      <c r="A20" s="0" t="n">
        <v>19</v>
      </c>
      <c r="B20" s="0" t="s">
        <v>188</v>
      </c>
      <c r="C20" s="0" t="s">
        <v>133</v>
      </c>
      <c r="D20" s="1" t="s">
        <v>189</v>
      </c>
      <c r="E20" s="0" t="n">
        <v>2</v>
      </c>
      <c r="F20" s="0" t="s">
        <v>38</v>
      </c>
      <c r="G20" s="0" t="s">
        <v>44</v>
      </c>
      <c r="H20" s="0" t="s">
        <v>190</v>
      </c>
      <c r="I20" s="0" t="s">
        <v>191</v>
      </c>
      <c r="J20" s="0" t="s">
        <v>192</v>
      </c>
      <c r="K20" s="0" t="s">
        <v>193</v>
      </c>
      <c r="L20" s="0" t="s">
        <v>44</v>
      </c>
      <c r="M20" s="0" t="s">
        <v>45</v>
      </c>
      <c r="N20" s="0" t="s">
        <v>194</v>
      </c>
      <c r="O20" s="0" t="s">
        <v>44</v>
      </c>
      <c r="P20" s="0" t="s">
        <v>44</v>
      </c>
      <c r="Q20" s="3"/>
      <c r="R20" s="3"/>
      <c r="S20" s="4"/>
      <c r="T20" s="5"/>
      <c r="U20" s="4"/>
      <c r="V20" s="5"/>
      <c r="W20" s="5"/>
      <c r="X20" s="4"/>
      <c r="Y20" s="5"/>
      <c r="Z20" s="3"/>
      <c r="AA20" s="3"/>
      <c r="AB20" s="6"/>
      <c r="AC20" s="7"/>
      <c r="AD20" s="3"/>
      <c r="AE20" s="5"/>
      <c r="AF20" s="5"/>
      <c r="AG20" s="8"/>
      <c r="AH20" s="9" t="n">
        <f aca="false">IF(OR(J20="",J20="-"),"",LEN(J20)-LEN(SUBSTITUTE(J20,",",""))+1)</f>
        <v>4</v>
      </c>
      <c r="AI20" s="5"/>
    </row>
    <row r="21" customFormat="false" ht="16" hidden="false" customHeight="false" outlineLevel="0" collapsed="false">
      <c r="A21" s="0" t="n">
        <v>20</v>
      </c>
      <c r="B21" s="0" t="s">
        <v>195</v>
      </c>
      <c r="C21" s="0" t="s">
        <v>196</v>
      </c>
      <c r="D21" s="1" t="s">
        <v>197</v>
      </c>
      <c r="E21" s="0" t="n">
        <v>2</v>
      </c>
      <c r="F21" s="0" t="s">
        <v>38</v>
      </c>
      <c r="G21" s="0" t="s">
        <v>44</v>
      </c>
      <c r="H21" s="0" t="s">
        <v>198</v>
      </c>
      <c r="I21" s="0" t="s">
        <v>199</v>
      </c>
      <c r="J21" s="0" t="s">
        <v>200</v>
      </c>
      <c r="K21" s="0" t="s">
        <v>201</v>
      </c>
      <c r="L21" s="0" t="s">
        <v>44</v>
      </c>
      <c r="M21" s="0" t="s">
        <v>45</v>
      </c>
      <c r="N21" s="0" t="s">
        <v>187</v>
      </c>
      <c r="O21" s="0" t="s">
        <v>44</v>
      </c>
      <c r="P21" s="0" t="s">
        <v>44</v>
      </c>
      <c r="Q21" s="3"/>
      <c r="R21" s="3"/>
      <c r="S21" s="4"/>
      <c r="T21" s="5"/>
      <c r="U21" s="4"/>
      <c r="V21" s="5"/>
      <c r="W21" s="5"/>
      <c r="X21" s="4"/>
      <c r="Y21" s="5"/>
      <c r="Z21" s="3"/>
      <c r="AA21" s="3"/>
      <c r="AB21" s="6"/>
      <c r="AC21" s="7"/>
      <c r="AD21" s="3"/>
      <c r="AE21" s="5"/>
      <c r="AF21" s="5"/>
      <c r="AG21" s="8"/>
      <c r="AH21" s="9" t="n">
        <f aca="false">IF(OR(J21="",J21="-"),"",LEN(J21)-LEN(SUBSTITUTE(J21,",",""))+1)</f>
        <v>5</v>
      </c>
      <c r="AI21" s="5"/>
    </row>
    <row r="22" customFormat="false" ht="16" hidden="false" customHeight="false" outlineLevel="0" collapsed="false">
      <c r="A22" s="0" t="n">
        <v>21</v>
      </c>
      <c r="B22" s="0" t="s">
        <v>202</v>
      </c>
      <c r="C22" s="0" t="s">
        <v>144</v>
      </c>
      <c r="D22" s="1" t="s">
        <v>203</v>
      </c>
      <c r="E22" s="0" t="n">
        <v>2</v>
      </c>
      <c r="F22" s="0" t="s">
        <v>38</v>
      </c>
      <c r="G22" s="0" t="s">
        <v>44</v>
      </c>
      <c r="H22" s="0" t="s">
        <v>204</v>
      </c>
      <c r="I22" s="0" t="s">
        <v>205</v>
      </c>
      <c r="J22" s="0" t="s">
        <v>206</v>
      </c>
      <c r="K22" s="0" t="s">
        <v>207</v>
      </c>
      <c r="L22" s="0" t="s">
        <v>44</v>
      </c>
      <c r="M22" s="0" t="s">
        <v>45</v>
      </c>
      <c r="N22" s="0" t="s">
        <v>208</v>
      </c>
      <c r="O22" s="0" t="s">
        <v>44</v>
      </c>
      <c r="P22" s="0" t="s">
        <v>44</v>
      </c>
      <c r="Q22" s="3"/>
      <c r="R22" s="3"/>
      <c r="S22" s="4"/>
      <c r="T22" s="5"/>
      <c r="U22" s="4"/>
      <c r="V22" s="5"/>
      <c r="W22" s="5"/>
      <c r="X22" s="4"/>
      <c r="Y22" s="5"/>
      <c r="Z22" s="3"/>
      <c r="AA22" s="3"/>
      <c r="AB22" s="6"/>
      <c r="AC22" s="7"/>
      <c r="AD22" s="3"/>
      <c r="AE22" s="5"/>
      <c r="AF22" s="5"/>
      <c r="AG22" s="8"/>
      <c r="AH22" s="9" t="n">
        <f aca="false">IF(OR(J22="",J22="-"),"",LEN(J22)-LEN(SUBSTITUTE(J22,",",""))+1)</f>
        <v>6</v>
      </c>
      <c r="AI22" s="5"/>
    </row>
    <row r="23" customFormat="false" ht="16" hidden="false" customHeight="false" outlineLevel="0" collapsed="false">
      <c r="A23" s="0" t="n">
        <v>22</v>
      </c>
      <c r="B23" s="0" t="s">
        <v>209</v>
      </c>
      <c r="C23" s="0" t="s">
        <v>210</v>
      </c>
      <c r="D23" s="1" t="s">
        <v>211</v>
      </c>
      <c r="E23" s="0" t="n">
        <v>2</v>
      </c>
      <c r="F23" s="0" t="s">
        <v>38</v>
      </c>
      <c r="G23" s="0" t="s">
        <v>44</v>
      </c>
      <c r="H23" s="0" t="s">
        <v>212</v>
      </c>
      <c r="I23" s="0" t="s">
        <v>213</v>
      </c>
      <c r="J23" s="0" t="s">
        <v>214</v>
      </c>
      <c r="K23" s="0" t="s">
        <v>215</v>
      </c>
      <c r="L23" s="0" t="s">
        <v>44</v>
      </c>
      <c r="M23" s="0" t="s">
        <v>45</v>
      </c>
      <c r="N23" s="0" t="s">
        <v>216</v>
      </c>
      <c r="O23" s="0" t="s">
        <v>44</v>
      </c>
      <c r="P23" s="0" t="s">
        <v>44</v>
      </c>
      <c r="Q23" s="3"/>
      <c r="R23" s="3"/>
      <c r="S23" s="4"/>
      <c r="T23" s="5"/>
      <c r="U23" s="4"/>
      <c r="V23" s="5"/>
      <c r="W23" s="5"/>
      <c r="X23" s="4"/>
      <c r="Y23" s="5"/>
      <c r="Z23" s="3"/>
      <c r="AA23" s="3"/>
      <c r="AB23" s="6"/>
      <c r="AC23" s="7"/>
      <c r="AD23" s="3"/>
      <c r="AE23" s="5"/>
      <c r="AF23" s="5"/>
      <c r="AG23" s="8"/>
      <c r="AH23" s="9" t="n">
        <f aca="false">IF(OR(J23="",J23="-"),"",LEN(J23)-LEN(SUBSTITUTE(J23,",",""))+1)</f>
        <v>1</v>
      </c>
      <c r="AI23" s="5"/>
    </row>
    <row r="24" customFormat="false" ht="16" hidden="false" customHeight="false" outlineLevel="0" collapsed="false">
      <c r="A24" s="0" t="n">
        <v>23</v>
      </c>
      <c r="B24" s="0" t="s">
        <v>217</v>
      </c>
      <c r="C24" s="0" t="s">
        <v>69</v>
      </c>
      <c r="D24" s="1" t="s">
        <v>218</v>
      </c>
      <c r="E24" s="0" t="n">
        <v>2</v>
      </c>
      <c r="F24" s="0" t="s">
        <v>38</v>
      </c>
      <c r="G24" s="0" t="s">
        <v>44</v>
      </c>
      <c r="H24" s="0" t="s">
        <v>219</v>
      </c>
      <c r="I24" s="0" t="s">
        <v>220</v>
      </c>
      <c r="J24" s="0" t="s">
        <v>221</v>
      </c>
      <c r="K24" s="0" t="s">
        <v>222</v>
      </c>
      <c r="L24" s="0" t="s">
        <v>44</v>
      </c>
      <c r="M24" s="0" t="s">
        <v>45</v>
      </c>
      <c r="N24" s="0" t="s">
        <v>69</v>
      </c>
      <c r="O24" s="0" t="s">
        <v>44</v>
      </c>
      <c r="P24" s="0" t="s">
        <v>44</v>
      </c>
      <c r="Q24" s="3"/>
      <c r="R24" s="3"/>
      <c r="S24" s="4"/>
      <c r="T24" s="5"/>
      <c r="U24" s="4"/>
      <c r="V24" s="5"/>
      <c r="W24" s="5"/>
      <c r="X24" s="4"/>
      <c r="Y24" s="5"/>
      <c r="Z24" s="3"/>
      <c r="AA24" s="3"/>
      <c r="AB24" s="6"/>
      <c r="AC24" s="7"/>
      <c r="AD24" s="3"/>
      <c r="AE24" s="5"/>
      <c r="AF24" s="5"/>
      <c r="AG24" s="8"/>
      <c r="AH24" s="9" t="n">
        <f aca="false">IF(OR(J24="",J24="-"),"",LEN(J24)-LEN(SUBSTITUTE(J24,",",""))+1)</f>
        <v>7</v>
      </c>
      <c r="AI24" s="5"/>
    </row>
    <row r="25" customFormat="false" ht="16" hidden="false" customHeight="false" outlineLevel="0" collapsed="false">
      <c r="A25" s="0" t="n">
        <v>24</v>
      </c>
      <c r="B25" s="0" t="s">
        <v>223</v>
      </c>
      <c r="C25" s="0" t="s">
        <v>133</v>
      </c>
      <c r="D25" s="1" t="s">
        <v>218</v>
      </c>
      <c r="E25" s="0" t="n">
        <v>2</v>
      </c>
      <c r="F25" s="0" t="s">
        <v>38</v>
      </c>
      <c r="G25" s="0" t="s">
        <v>44</v>
      </c>
      <c r="H25" s="0" t="s">
        <v>224</v>
      </c>
      <c r="I25" s="0" t="s">
        <v>225</v>
      </c>
      <c r="J25" s="0" t="s">
        <v>226</v>
      </c>
      <c r="K25" s="0" t="s">
        <v>227</v>
      </c>
      <c r="L25" s="0" t="s">
        <v>44</v>
      </c>
      <c r="M25" s="0" t="s">
        <v>45</v>
      </c>
      <c r="N25" s="0" t="s">
        <v>228</v>
      </c>
      <c r="O25" s="0" t="s">
        <v>44</v>
      </c>
      <c r="P25" s="0" t="s">
        <v>44</v>
      </c>
      <c r="Q25" s="3"/>
      <c r="R25" s="3"/>
      <c r="S25" s="4"/>
      <c r="T25" s="5"/>
      <c r="U25" s="4"/>
      <c r="V25" s="5"/>
      <c r="W25" s="5"/>
      <c r="X25" s="4"/>
      <c r="Y25" s="5"/>
      <c r="Z25" s="3"/>
      <c r="AA25" s="3"/>
      <c r="AB25" s="6"/>
      <c r="AC25" s="7"/>
      <c r="AD25" s="3"/>
      <c r="AE25" s="5"/>
      <c r="AF25" s="5"/>
      <c r="AG25" s="8"/>
      <c r="AH25" s="9" t="n">
        <f aca="false">IF(OR(J25="",J25="-"),"",LEN(J25)-LEN(SUBSTITUTE(J25,",",""))+1)</f>
        <v>7</v>
      </c>
      <c r="AI25" s="5"/>
    </row>
    <row r="26" customFormat="false" ht="16" hidden="false" customHeight="false" outlineLevel="0" collapsed="false">
      <c r="A26" s="0" t="n">
        <v>25</v>
      </c>
      <c r="B26" s="0" t="s">
        <v>229</v>
      </c>
      <c r="C26" s="0" t="s">
        <v>230</v>
      </c>
      <c r="D26" s="1" t="s">
        <v>231</v>
      </c>
      <c r="E26" s="0" t="n">
        <v>2</v>
      </c>
      <c r="F26" s="0" t="s">
        <v>38</v>
      </c>
      <c r="G26" s="0" t="s">
        <v>232</v>
      </c>
      <c r="H26" s="0" t="s">
        <v>233</v>
      </c>
      <c r="I26" s="0" t="s">
        <v>234</v>
      </c>
      <c r="J26" s="0" t="s">
        <v>235</v>
      </c>
      <c r="K26" s="0" t="s">
        <v>236</v>
      </c>
      <c r="L26" s="0" t="s">
        <v>170</v>
      </c>
      <c r="M26" s="0" t="s">
        <v>45</v>
      </c>
      <c r="N26" s="0" t="s">
        <v>230</v>
      </c>
      <c r="O26" s="0" t="s">
        <v>44</v>
      </c>
      <c r="P26" s="0" t="s">
        <v>44</v>
      </c>
      <c r="Q26" s="3" t="s">
        <v>150</v>
      </c>
      <c r="R26" s="3"/>
      <c r="S26" s="4" t="n">
        <v>500</v>
      </c>
      <c r="T26" s="5" t="s">
        <v>48</v>
      </c>
      <c r="U26" s="4"/>
      <c r="V26" s="5"/>
      <c r="W26" s="5"/>
      <c r="X26" s="4"/>
      <c r="Y26" s="5"/>
      <c r="Z26" s="3"/>
      <c r="AA26" s="3"/>
      <c r="AB26" s="6"/>
      <c r="AC26" s="7"/>
      <c r="AD26" s="3"/>
      <c r="AE26" s="5" t="s">
        <v>152</v>
      </c>
      <c r="AF26" s="5" t="s">
        <v>178</v>
      </c>
      <c r="AG26" s="8" t="s">
        <v>237</v>
      </c>
      <c r="AH26" s="9" t="n">
        <f aca="false">IF(OR(J26="",J26="-"),"",LEN(J26)-LEN(SUBSTITUTE(J26,",",""))+1)</f>
        <v>6</v>
      </c>
      <c r="AI26" s="5" t="s">
        <v>52</v>
      </c>
    </row>
    <row r="27" customFormat="false" ht="16" hidden="false" customHeight="false" outlineLevel="0" collapsed="false">
      <c r="A27" s="0" t="n">
        <v>26</v>
      </c>
      <c r="B27" s="0" t="s">
        <v>238</v>
      </c>
      <c r="C27" s="0" t="s">
        <v>239</v>
      </c>
      <c r="D27" s="1" t="s">
        <v>240</v>
      </c>
      <c r="E27" s="0" t="n">
        <v>1</v>
      </c>
      <c r="F27" s="0" t="s">
        <v>38</v>
      </c>
      <c r="G27" s="0" t="s">
        <v>44</v>
      </c>
      <c r="H27" s="0" t="s">
        <v>241</v>
      </c>
      <c r="I27" s="0" t="s">
        <v>242</v>
      </c>
      <c r="J27" s="0" t="s">
        <v>243</v>
      </c>
      <c r="K27" s="0" t="s">
        <v>244</v>
      </c>
      <c r="L27" s="0" t="s">
        <v>44</v>
      </c>
      <c r="M27" s="0" t="s">
        <v>45</v>
      </c>
      <c r="N27" s="0" t="s">
        <v>116</v>
      </c>
      <c r="O27" s="0" t="s">
        <v>44</v>
      </c>
      <c r="P27" s="0" t="s">
        <v>44</v>
      </c>
      <c r="Q27" s="3"/>
      <c r="R27" s="3"/>
      <c r="S27" s="4"/>
      <c r="T27" s="5"/>
      <c r="U27" s="4"/>
      <c r="V27" s="5"/>
      <c r="W27" s="5"/>
      <c r="X27" s="4"/>
      <c r="Y27" s="5"/>
      <c r="Z27" s="3"/>
      <c r="AA27" s="3"/>
      <c r="AB27" s="6"/>
      <c r="AC27" s="7"/>
      <c r="AD27" s="3"/>
      <c r="AE27" s="5"/>
      <c r="AF27" s="5"/>
      <c r="AG27" s="8"/>
      <c r="AH27" s="9" t="n">
        <f aca="false">IF(OR(J27="",J27="-"),"",LEN(J27)-LEN(SUBSTITUTE(J27,",",""))+1)</f>
        <v>5</v>
      </c>
      <c r="AI27" s="5"/>
    </row>
    <row r="28" customFormat="false" ht="16" hidden="false" customHeight="false" outlineLevel="0" collapsed="false">
      <c r="A28" s="0" t="n">
        <v>27</v>
      </c>
      <c r="B28" s="0" t="s">
        <v>245</v>
      </c>
      <c r="C28" s="0" t="s">
        <v>246</v>
      </c>
      <c r="D28" s="1" t="s">
        <v>247</v>
      </c>
      <c r="E28" s="0" t="n">
        <v>2</v>
      </c>
      <c r="F28" s="0" t="s">
        <v>38</v>
      </c>
      <c r="G28" s="0" t="s">
        <v>44</v>
      </c>
      <c r="H28" s="0" t="s">
        <v>76</v>
      </c>
      <c r="I28" s="0" t="s">
        <v>248</v>
      </c>
      <c r="J28" s="0" t="s">
        <v>249</v>
      </c>
      <c r="K28" s="0" t="s">
        <v>250</v>
      </c>
      <c r="L28" s="0" t="s">
        <v>44</v>
      </c>
      <c r="M28" s="0" t="s">
        <v>45</v>
      </c>
      <c r="N28" s="0" t="s">
        <v>251</v>
      </c>
      <c r="O28" s="0" t="s">
        <v>44</v>
      </c>
      <c r="P28" s="0" t="s">
        <v>44</v>
      </c>
      <c r="Q28" s="3"/>
      <c r="R28" s="3"/>
      <c r="S28" s="4"/>
      <c r="T28" s="5"/>
      <c r="U28" s="4"/>
      <c r="V28" s="5"/>
      <c r="W28" s="5"/>
      <c r="X28" s="4"/>
      <c r="Y28" s="5"/>
      <c r="Z28" s="3"/>
      <c r="AA28" s="3"/>
      <c r="AB28" s="6"/>
      <c r="AC28" s="7"/>
      <c r="AD28" s="3"/>
      <c r="AE28" s="5"/>
      <c r="AF28" s="5"/>
      <c r="AG28" s="8"/>
      <c r="AH28" s="9" t="n">
        <f aca="false">IF(OR(J28="",J28="-"),"",LEN(J28)-LEN(SUBSTITUTE(J28,",",""))+1)</f>
        <v>4</v>
      </c>
      <c r="AI28" s="5"/>
    </row>
    <row r="29" customFormat="false" ht="16" hidden="false" customHeight="false" outlineLevel="0" collapsed="false">
      <c r="A29" s="0" t="n">
        <v>28</v>
      </c>
      <c r="B29" s="0" t="s">
        <v>252</v>
      </c>
      <c r="C29" s="0" t="s">
        <v>253</v>
      </c>
      <c r="D29" s="1" t="s">
        <v>254</v>
      </c>
      <c r="E29" s="0" t="n">
        <v>2.5</v>
      </c>
      <c r="F29" s="0" t="s">
        <v>38</v>
      </c>
      <c r="G29" s="0" t="s">
        <v>44</v>
      </c>
      <c r="H29" s="0" t="s">
        <v>255</v>
      </c>
      <c r="I29" s="0" t="s">
        <v>256</v>
      </c>
      <c r="J29" s="0" t="s">
        <v>257</v>
      </c>
      <c r="K29" s="0" t="s">
        <v>258</v>
      </c>
      <c r="L29" s="0" t="s">
        <v>44</v>
      </c>
      <c r="M29" s="0" t="s">
        <v>45</v>
      </c>
      <c r="N29" s="0" t="s">
        <v>259</v>
      </c>
      <c r="O29" s="0" t="s">
        <v>44</v>
      </c>
      <c r="P29" s="0" t="s">
        <v>44</v>
      </c>
      <c r="Q29" s="3"/>
      <c r="R29" s="3"/>
      <c r="S29" s="4"/>
      <c r="T29" s="5"/>
      <c r="U29" s="4"/>
      <c r="V29" s="5"/>
      <c r="W29" s="5"/>
      <c r="X29" s="4"/>
      <c r="Y29" s="5"/>
      <c r="Z29" s="3"/>
      <c r="AA29" s="3"/>
      <c r="AB29" s="6"/>
      <c r="AC29" s="7"/>
      <c r="AD29" s="3"/>
      <c r="AE29" s="5"/>
      <c r="AF29" s="5"/>
      <c r="AG29" s="8"/>
      <c r="AH29" s="9" t="n">
        <f aca="false">IF(OR(J29="",J29="-"),"",LEN(J29)-LEN(SUBSTITUTE(J29,",",""))+1)</f>
        <v>4</v>
      </c>
      <c r="AI29" s="5"/>
    </row>
    <row r="30" customFormat="false" ht="16" hidden="false" customHeight="false" outlineLevel="0" collapsed="false">
      <c r="A30" s="0" t="n">
        <v>29</v>
      </c>
      <c r="B30" s="0" t="s">
        <v>223</v>
      </c>
      <c r="C30" s="0" t="s">
        <v>260</v>
      </c>
      <c r="D30" s="1" t="s">
        <v>261</v>
      </c>
      <c r="E30" s="0" t="n">
        <v>2</v>
      </c>
      <c r="F30" s="0" t="s">
        <v>38</v>
      </c>
      <c r="G30" s="0" t="s">
        <v>44</v>
      </c>
      <c r="H30" s="0" t="s">
        <v>255</v>
      </c>
      <c r="I30" s="0" t="s">
        <v>262</v>
      </c>
      <c r="J30" s="0" t="s">
        <v>263</v>
      </c>
      <c r="K30" s="0" t="s">
        <v>227</v>
      </c>
      <c r="L30" s="0" t="s">
        <v>44</v>
      </c>
      <c r="M30" s="0" t="s">
        <v>45</v>
      </c>
      <c r="N30" s="0" t="s">
        <v>133</v>
      </c>
      <c r="O30" s="0" t="s">
        <v>44</v>
      </c>
      <c r="P30" s="0" t="s">
        <v>44</v>
      </c>
      <c r="Q30" s="3"/>
      <c r="R30" s="3"/>
      <c r="S30" s="4"/>
      <c r="T30" s="5"/>
      <c r="U30" s="4"/>
      <c r="V30" s="5"/>
      <c r="W30" s="5"/>
      <c r="X30" s="4"/>
      <c r="Y30" s="5"/>
      <c r="Z30" s="3"/>
      <c r="AA30" s="3"/>
      <c r="AB30" s="6"/>
      <c r="AC30" s="7"/>
      <c r="AD30" s="3"/>
      <c r="AE30" s="5"/>
      <c r="AF30" s="5"/>
      <c r="AG30" s="8"/>
      <c r="AH30" s="9" t="n">
        <f aca="false">IF(OR(J30="",J30="-"),"",LEN(J30)-LEN(SUBSTITUTE(J30,",",""))+1)</f>
        <v>4</v>
      </c>
      <c r="AI30" s="5"/>
    </row>
    <row r="31" customFormat="false" ht="16" hidden="false" customHeight="false" outlineLevel="0" collapsed="false">
      <c r="A31" s="0" t="n">
        <v>30</v>
      </c>
      <c r="B31" s="0" t="s">
        <v>264</v>
      </c>
      <c r="C31" s="0" t="s">
        <v>265</v>
      </c>
      <c r="D31" s="1" t="s">
        <v>266</v>
      </c>
      <c r="E31" s="0" t="n">
        <v>1</v>
      </c>
      <c r="F31" s="0" t="s">
        <v>38</v>
      </c>
      <c r="G31" s="0" t="s">
        <v>44</v>
      </c>
      <c r="H31" s="0" t="s">
        <v>267</v>
      </c>
      <c r="I31" s="0" t="s">
        <v>268</v>
      </c>
      <c r="J31" s="0" t="s">
        <v>269</v>
      </c>
      <c r="K31" s="0" t="s">
        <v>270</v>
      </c>
      <c r="L31" s="0" t="s">
        <v>44</v>
      </c>
      <c r="M31" s="0" t="s">
        <v>45</v>
      </c>
      <c r="N31" s="0" t="s">
        <v>271</v>
      </c>
      <c r="O31" s="0" t="s">
        <v>44</v>
      </c>
      <c r="P31" s="0" t="s">
        <v>44</v>
      </c>
      <c r="Q31" s="3"/>
      <c r="R31" s="3"/>
      <c r="S31" s="4"/>
      <c r="T31" s="5"/>
      <c r="U31" s="4"/>
      <c r="V31" s="5"/>
      <c r="W31" s="5"/>
      <c r="X31" s="4"/>
      <c r="Y31" s="5"/>
      <c r="Z31" s="3"/>
      <c r="AA31" s="3"/>
      <c r="AB31" s="6"/>
      <c r="AC31" s="7"/>
      <c r="AD31" s="3"/>
      <c r="AE31" s="5"/>
      <c r="AF31" s="5"/>
      <c r="AG31" s="8"/>
      <c r="AH31" s="9" t="n">
        <f aca="false">IF(OR(J31="",J31="-"),"",LEN(J31)-LEN(SUBSTITUTE(J31,",",""))+1)</f>
        <v>2</v>
      </c>
      <c r="AI31" s="5"/>
    </row>
    <row r="32" customFormat="false" ht="16" hidden="false" customHeight="false" outlineLevel="0" collapsed="false">
      <c r="A32" s="0" t="n">
        <v>31</v>
      </c>
      <c r="B32" s="0" t="s">
        <v>272</v>
      </c>
      <c r="C32" s="0" t="s">
        <v>273</v>
      </c>
      <c r="D32" s="1" t="s">
        <v>274</v>
      </c>
      <c r="E32" s="0" t="n">
        <v>2</v>
      </c>
      <c r="F32" s="0" t="s">
        <v>38</v>
      </c>
      <c r="G32" s="0" t="s">
        <v>44</v>
      </c>
      <c r="H32" s="0" t="s">
        <v>275</v>
      </c>
      <c r="I32" s="0" t="s">
        <v>276</v>
      </c>
      <c r="J32" s="0" t="s">
        <v>277</v>
      </c>
      <c r="K32" s="0" t="s">
        <v>278</v>
      </c>
      <c r="L32" s="0" t="s">
        <v>44</v>
      </c>
      <c r="M32" s="0" t="s">
        <v>45</v>
      </c>
      <c r="N32" s="0" t="s">
        <v>273</v>
      </c>
      <c r="O32" s="0" t="s">
        <v>44</v>
      </c>
      <c r="P32" s="0" t="s">
        <v>44</v>
      </c>
      <c r="Q32" s="3"/>
      <c r="R32" s="3"/>
      <c r="S32" s="4"/>
      <c r="T32" s="5"/>
      <c r="U32" s="4"/>
      <c r="V32" s="5"/>
      <c r="W32" s="5"/>
      <c r="X32" s="4"/>
      <c r="Y32" s="5"/>
      <c r="Z32" s="3"/>
      <c r="AA32" s="3"/>
      <c r="AB32" s="6"/>
      <c r="AC32" s="7"/>
      <c r="AD32" s="3"/>
      <c r="AE32" s="5"/>
      <c r="AF32" s="5"/>
      <c r="AG32" s="8"/>
      <c r="AH32" s="9" t="n">
        <f aca="false">IF(OR(J32="",J32="-"),"",LEN(J32)-LEN(SUBSTITUTE(J32,",",""))+1)</f>
        <v>4</v>
      </c>
      <c r="AI32" s="5"/>
    </row>
    <row r="33" customFormat="false" ht="16" hidden="false" customHeight="false" outlineLevel="0" collapsed="false">
      <c r="A33" s="0" t="n">
        <v>32</v>
      </c>
      <c r="B33" s="0" t="s">
        <v>279</v>
      </c>
      <c r="C33" s="0" t="s">
        <v>280</v>
      </c>
      <c r="D33" s="1" t="s">
        <v>281</v>
      </c>
      <c r="E33" s="0" t="n">
        <v>2</v>
      </c>
      <c r="F33" s="0" t="s">
        <v>38</v>
      </c>
      <c r="H33" s="0" t="s">
        <v>282</v>
      </c>
      <c r="I33" s="0" t="s">
        <v>283</v>
      </c>
      <c r="J33" s="0" t="s">
        <v>284</v>
      </c>
      <c r="K33" s="0" t="s">
        <v>285</v>
      </c>
      <c r="L33" s="0" t="s">
        <v>280</v>
      </c>
      <c r="M33" s="0" t="s">
        <v>45</v>
      </c>
      <c r="N33" s="0" t="s">
        <v>286</v>
      </c>
      <c r="O33" s="0" t="s">
        <v>44</v>
      </c>
      <c r="P33" s="0" t="s">
        <v>44</v>
      </c>
      <c r="Q33" s="3"/>
      <c r="R33" s="3"/>
      <c r="S33" s="4"/>
      <c r="T33" s="5"/>
      <c r="U33" s="4"/>
      <c r="V33" s="5"/>
      <c r="W33" s="5"/>
      <c r="X33" s="4"/>
      <c r="Y33" s="5"/>
      <c r="Z33" s="3"/>
      <c r="AA33" s="3"/>
      <c r="AB33" s="6"/>
      <c r="AC33" s="7"/>
      <c r="AD33" s="3"/>
      <c r="AE33" s="5"/>
      <c r="AF33" s="5"/>
      <c r="AG33" s="8"/>
      <c r="AH33" s="9" t="n">
        <f aca="false">IF(OR(J33="",J33="-"),"",LEN(J33)-LEN(SUBSTITUTE(J33,",",""))+1)</f>
        <v>2</v>
      </c>
      <c r="AI33" s="5"/>
    </row>
    <row r="34" customFormat="false" ht="16" hidden="false" customHeight="false" outlineLevel="0" collapsed="false">
      <c r="A34" s="0" t="n">
        <v>33</v>
      </c>
      <c r="B34" s="0" t="s">
        <v>279</v>
      </c>
      <c r="C34" s="0" t="s">
        <v>280</v>
      </c>
      <c r="D34" s="1" t="s">
        <v>281</v>
      </c>
      <c r="E34" s="0" t="n">
        <v>2</v>
      </c>
      <c r="F34" s="0" t="s">
        <v>38</v>
      </c>
      <c r="G34" s="0" t="s">
        <v>287</v>
      </c>
      <c r="H34" s="0" t="s">
        <v>282</v>
      </c>
      <c r="I34" s="0" t="s">
        <v>288</v>
      </c>
      <c r="J34" s="0" t="s">
        <v>289</v>
      </c>
      <c r="K34" s="0" t="s">
        <v>290</v>
      </c>
      <c r="L34" s="0" t="s">
        <v>280</v>
      </c>
      <c r="M34" s="0" t="s">
        <v>45</v>
      </c>
      <c r="N34" s="0" t="s">
        <v>286</v>
      </c>
      <c r="O34" s="0" t="s">
        <v>44</v>
      </c>
      <c r="P34" s="0" t="s">
        <v>44</v>
      </c>
      <c r="Q34" s="3" t="s">
        <v>150</v>
      </c>
      <c r="R34" s="3"/>
      <c r="S34" s="4" t="n">
        <v>250</v>
      </c>
      <c r="T34" s="5" t="s">
        <v>48</v>
      </c>
      <c r="U34" s="4"/>
      <c r="V34" s="5"/>
      <c r="W34" s="5"/>
      <c r="X34" s="4"/>
      <c r="Y34" s="5"/>
      <c r="Z34" s="3"/>
      <c r="AA34" s="3"/>
      <c r="AB34" s="6"/>
      <c r="AC34" s="7"/>
      <c r="AD34" s="3"/>
      <c r="AE34" s="5" t="s">
        <v>152</v>
      </c>
      <c r="AF34" s="5" t="s">
        <v>291</v>
      </c>
      <c r="AG34" s="8" t="s">
        <v>292</v>
      </c>
      <c r="AH34" s="9" t="n">
        <f aca="false">IF(OR(J34="",J34="-"),"",LEN(J34)-LEN(SUBSTITUTE(J34,",",""))+1)</f>
        <v>2</v>
      </c>
      <c r="AI34" s="5" t="s">
        <v>52</v>
      </c>
    </row>
    <row r="35" customFormat="false" ht="16" hidden="false" customHeight="false" outlineLevel="0" collapsed="false">
      <c r="A35" s="0" t="n">
        <v>34</v>
      </c>
      <c r="B35" s="0" t="s">
        <v>293</v>
      </c>
      <c r="C35" s="0" t="s">
        <v>294</v>
      </c>
      <c r="D35" s="1" t="s">
        <v>295</v>
      </c>
      <c r="E35" s="0" t="n">
        <v>2</v>
      </c>
      <c r="F35" s="0" t="s">
        <v>38</v>
      </c>
      <c r="G35" s="0" t="s">
        <v>44</v>
      </c>
      <c r="H35" s="0" t="s">
        <v>40</v>
      </c>
      <c r="I35" s="0" t="s">
        <v>296</v>
      </c>
      <c r="J35" s="0" t="s">
        <v>297</v>
      </c>
      <c r="K35" s="0" t="s">
        <v>298</v>
      </c>
      <c r="L35" s="0" t="s">
        <v>44</v>
      </c>
      <c r="M35" s="0" t="s">
        <v>45</v>
      </c>
      <c r="N35" s="0" t="s">
        <v>299</v>
      </c>
      <c r="O35" s="0" t="s">
        <v>300</v>
      </c>
      <c r="P35" s="0" t="s">
        <v>44</v>
      </c>
      <c r="Q35" s="3"/>
      <c r="R35" s="3"/>
      <c r="S35" s="4"/>
      <c r="T35" s="5"/>
      <c r="U35" s="4"/>
      <c r="V35" s="5"/>
      <c r="W35" s="5"/>
      <c r="X35" s="4"/>
      <c r="Y35" s="5"/>
      <c r="Z35" s="3"/>
      <c r="AA35" s="3"/>
      <c r="AB35" s="6"/>
      <c r="AC35" s="7"/>
      <c r="AD35" s="3"/>
      <c r="AE35" s="5"/>
      <c r="AF35" s="5"/>
      <c r="AG35" s="8"/>
      <c r="AH35" s="9" t="n">
        <f aca="false">IF(OR(J35="",J35="-"),"",LEN(J35)-LEN(SUBSTITUTE(J35,",",""))+1)</f>
        <v>3</v>
      </c>
      <c r="AI35" s="5"/>
    </row>
    <row r="36" customFormat="false" ht="16" hidden="false" customHeight="false" outlineLevel="0" collapsed="false">
      <c r="A36" s="0" t="n">
        <v>35</v>
      </c>
      <c r="B36" s="0" t="s">
        <v>301</v>
      </c>
      <c r="C36" s="0" t="s">
        <v>302</v>
      </c>
      <c r="D36" s="1" t="s">
        <v>303</v>
      </c>
      <c r="E36" s="0" t="n">
        <v>2</v>
      </c>
      <c r="F36" s="0" t="s">
        <v>38</v>
      </c>
      <c r="G36" s="0" t="s">
        <v>304</v>
      </c>
      <c r="H36" s="0" t="s">
        <v>305</v>
      </c>
      <c r="I36" s="0" t="s">
        <v>306</v>
      </c>
      <c r="J36" s="0" t="s">
        <v>307</v>
      </c>
      <c r="K36" s="0" t="s">
        <v>308</v>
      </c>
      <c r="L36" s="0" t="s">
        <v>44</v>
      </c>
      <c r="M36" s="0" t="s">
        <v>45</v>
      </c>
      <c r="N36" s="0" t="s">
        <v>302</v>
      </c>
      <c r="O36" s="0" t="s">
        <v>309</v>
      </c>
      <c r="P36" s="0" t="s">
        <v>44</v>
      </c>
      <c r="Q36" s="3" t="s">
        <v>177</v>
      </c>
      <c r="R36" s="3"/>
      <c r="S36" s="4" t="n">
        <v>1000</v>
      </c>
      <c r="T36" s="5" t="s">
        <v>48</v>
      </c>
      <c r="U36" s="4"/>
      <c r="V36" s="5"/>
      <c r="W36" s="5"/>
      <c r="X36" s="4"/>
      <c r="Y36" s="5"/>
      <c r="Z36" s="3"/>
      <c r="AA36" s="3"/>
      <c r="AB36" s="6"/>
      <c r="AC36" s="7"/>
      <c r="AD36" s="3"/>
      <c r="AE36" s="5" t="s">
        <v>152</v>
      </c>
      <c r="AF36" s="5" t="s">
        <v>291</v>
      </c>
      <c r="AG36" s="8" t="s">
        <v>310</v>
      </c>
      <c r="AH36" s="9" t="n">
        <f aca="false">IF(OR(J36="",J36="-"),"",LEN(J36)-LEN(SUBSTITUTE(J36,",",""))+1)</f>
        <v>4</v>
      </c>
      <c r="AI36" s="5" t="s">
        <v>52</v>
      </c>
    </row>
    <row r="37" customFormat="false" ht="16" hidden="false" customHeight="false" outlineLevel="0" collapsed="false">
      <c r="A37" s="0" t="n">
        <v>36</v>
      </c>
      <c r="B37" s="0" t="s">
        <v>311</v>
      </c>
      <c r="C37" s="0" t="s">
        <v>312</v>
      </c>
      <c r="D37" s="1" t="s">
        <v>313</v>
      </c>
      <c r="E37" s="0" t="n">
        <v>3</v>
      </c>
      <c r="F37" s="0" t="s">
        <v>38</v>
      </c>
      <c r="G37" s="0" t="s">
        <v>44</v>
      </c>
      <c r="H37" s="0" t="s">
        <v>314</v>
      </c>
      <c r="I37" s="0" t="s">
        <v>315</v>
      </c>
      <c r="J37" s="0" t="s">
        <v>316</v>
      </c>
      <c r="K37" s="0" t="s">
        <v>317</v>
      </c>
      <c r="L37" s="0" t="s">
        <v>318</v>
      </c>
      <c r="M37" s="0" t="s">
        <v>45</v>
      </c>
      <c r="N37" s="0" t="s">
        <v>319</v>
      </c>
      <c r="O37" s="11" t="s">
        <v>320</v>
      </c>
      <c r="P37" s="0" t="s">
        <v>44</v>
      </c>
      <c r="Q37" s="3"/>
      <c r="R37" s="3"/>
      <c r="S37" s="4"/>
      <c r="T37" s="5"/>
      <c r="U37" s="4"/>
      <c r="V37" s="5"/>
      <c r="W37" s="5"/>
      <c r="X37" s="4"/>
      <c r="Y37" s="5"/>
      <c r="Z37" s="3"/>
      <c r="AA37" s="3"/>
      <c r="AB37" s="6"/>
      <c r="AC37" s="7"/>
      <c r="AD37" s="3"/>
      <c r="AE37" s="5"/>
      <c r="AF37" s="5"/>
      <c r="AG37" s="8"/>
      <c r="AH37" s="9" t="n">
        <f aca="false">IF(OR(J37="",J37="-"),"",LEN(J37)-LEN(SUBSTITUTE(J37,",",""))+1)</f>
        <v>4</v>
      </c>
      <c r="AI37" s="5"/>
    </row>
    <row r="38" customFormat="false" ht="16" hidden="false" customHeight="false" outlineLevel="0" collapsed="false">
      <c r="A38" s="0" t="n">
        <v>37</v>
      </c>
      <c r="B38" s="0" t="s">
        <v>321</v>
      </c>
      <c r="C38" s="0" t="s">
        <v>322</v>
      </c>
      <c r="D38" s="1" t="s">
        <v>323</v>
      </c>
      <c r="E38" s="0" t="n">
        <v>1</v>
      </c>
      <c r="F38" s="0" t="s">
        <v>38</v>
      </c>
      <c r="G38" s="0" t="s">
        <v>44</v>
      </c>
      <c r="H38" s="0" t="s">
        <v>314</v>
      </c>
      <c r="I38" s="0" t="s">
        <v>324</v>
      </c>
      <c r="J38" s="0" t="s">
        <v>316</v>
      </c>
      <c r="K38" s="0" t="s">
        <v>325</v>
      </c>
      <c r="L38" s="0" t="s">
        <v>326</v>
      </c>
      <c r="M38" s="0" t="s">
        <v>45</v>
      </c>
      <c r="N38" s="0" t="s">
        <v>322</v>
      </c>
      <c r="O38" s="0" t="s">
        <v>327</v>
      </c>
      <c r="P38" s="0" t="s">
        <v>44</v>
      </c>
      <c r="Q38" s="3"/>
      <c r="R38" s="3"/>
      <c r="S38" s="4"/>
      <c r="T38" s="5"/>
      <c r="U38" s="4"/>
      <c r="V38" s="5"/>
      <c r="W38" s="5"/>
      <c r="X38" s="4"/>
      <c r="Y38" s="5"/>
      <c r="Z38" s="3"/>
      <c r="AA38" s="3"/>
      <c r="AB38" s="6"/>
      <c r="AC38" s="7"/>
      <c r="AD38" s="3"/>
      <c r="AE38" s="5"/>
      <c r="AF38" s="5"/>
      <c r="AG38" s="8"/>
      <c r="AH38" s="9" t="n">
        <f aca="false">IF(OR(J38="",J38="-"),"",LEN(J38)-LEN(SUBSTITUTE(J38,",",""))+1)</f>
        <v>4</v>
      </c>
      <c r="AI38" s="5"/>
    </row>
    <row r="39" customFormat="false" ht="16" hidden="false" customHeight="false" outlineLevel="0" collapsed="false">
      <c r="A39" s="0" t="n">
        <v>38</v>
      </c>
      <c r="B39" s="0" t="s">
        <v>328</v>
      </c>
      <c r="C39" s="0" t="s">
        <v>329</v>
      </c>
      <c r="D39" s="1" t="s">
        <v>330</v>
      </c>
      <c r="E39" s="0" t="n">
        <v>1</v>
      </c>
      <c r="F39" s="0" t="s">
        <v>38</v>
      </c>
      <c r="G39" s="0" t="s">
        <v>331</v>
      </c>
      <c r="H39" s="0" t="s">
        <v>332</v>
      </c>
      <c r="I39" s="0" t="s">
        <v>333</v>
      </c>
      <c r="J39" s="0" t="s">
        <v>316</v>
      </c>
      <c r="K39" s="0" t="s">
        <v>334</v>
      </c>
      <c r="L39" s="0" t="s">
        <v>335</v>
      </c>
      <c r="M39" s="0" t="s">
        <v>45</v>
      </c>
      <c r="N39" s="0" t="s">
        <v>336</v>
      </c>
      <c r="O39" s="0" t="s">
        <v>337</v>
      </c>
      <c r="P39" s="0" t="s">
        <v>44</v>
      </c>
      <c r="Q39" s="3" t="s">
        <v>338</v>
      </c>
      <c r="R39" s="3"/>
      <c r="S39" s="4"/>
      <c r="T39" s="5"/>
      <c r="U39" s="4"/>
      <c r="V39" s="5"/>
      <c r="W39" s="5" t="n">
        <v>1</v>
      </c>
      <c r="X39" s="4" t="n">
        <v>39</v>
      </c>
      <c r="Y39" s="5" t="s">
        <v>83</v>
      </c>
      <c r="Z39" s="3" t="s">
        <v>339</v>
      </c>
      <c r="AA39" s="3"/>
      <c r="AB39" s="6"/>
      <c r="AC39" s="7"/>
      <c r="AD39" s="3"/>
      <c r="AE39" s="5" t="s">
        <v>49</v>
      </c>
      <c r="AF39" s="5" t="s">
        <v>340</v>
      </c>
      <c r="AG39" s="8" t="s">
        <v>341</v>
      </c>
      <c r="AH39" s="9" t="n">
        <f aca="false">IF(OR(J39="",J39="-"),"",LEN(J39)-LEN(SUBSTITUTE(J39,",",""))+1)</f>
        <v>4</v>
      </c>
      <c r="AI39" s="5" t="s">
        <v>155</v>
      </c>
    </row>
    <row r="40" customFormat="false" ht="16" hidden="false" customHeight="false" outlineLevel="0" collapsed="false">
      <c r="A40" s="0" t="n">
        <v>39</v>
      </c>
      <c r="B40" s="0" t="s">
        <v>342</v>
      </c>
      <c r="C40" s="0" t="s">
        <v>343</v>
      </c>
      <c r="D40" s="1" t="s">
        <v>344</v>
      </c>
      <c r="E40" s="0" t="n">
        <v>1</v>
      </c>
      <c r="F40" s="0" t="s">
        <v>38</v>
      </c>
      <c r="G40" s="0" t="s">
        <v>44</v>
      </c>
      <c r="H40" s="0" t="s">
        <v>314</v>
      </c>
      <c r="I40" s="0" t="s">
        <v>345</v>
      </c>
      <c r="J40" s="0" t="s">
        <v>346</v>
      </c>
      <c r="K40" s="0" t="s">
        <v>347</v>
      </c>
      <c r="L40" s="0" t="s">
        <v>44</v>
      </c>
      <c r="M40" s="0" t="s">
        <v>45</v>
      </c>
      <c r="N40" s="0" t="s">
        <v>336</v>
      </c>
      <c r="O40" s="0" t="s">
        <v>348</v>
      </c>
      <c r="P40" s="0" t="s">
        <v>44</v>
      </c>
      <c r="Q40" s="3"/>
      <c r="R40" s="3"/>
      <c r="S40" s="4"/>
      <c r="T40" s="5"/>
      <c r="U40" s="4"/>
      <c r="V40" s="5"/>
      <c r="W40" s="5"/>
      <c r="X40" s="4"/>
      <c r="Y40" s="5"/>
      <c r="Z40" s="3"/>
      <c r="AA40" s="3"/>
      <c r="AB40" s="6"/>
      <c r="AC40" s="7"/>
      <c r="AD40" s="3"/>
      <c r="AE40" s="5"/>
      <c r="AF40" s="5"/>
      <c r="AG40" s="8"/>
      <c r="AH40" s="9" t="n">
        <f aca="false">IF(OR(J40="",J40="-"),"",LEN(J40)-LEN(SUBSTITUTE(J40,",",""))+1)</f>
        <v>2</v>
      </c>
      <c r="AI40" s="5"/>
    </row>
    <row r="41" customFormat="false" ht="25.35" hidden="false" customHeight="false" outlineLevel="0" collapsed="false">
      <c r="A41" s="0" t="n">
        <v>40</v>
      </c>
      <c r="B41" s="0" t="s">
        <v>349</v>
      </c>
      <c r="C41" s="0" t="s">
        <v>350</v>
      </c>
      <c r="D41" s="1" t="s">
        <v>351</v>
      </c>
      <c r="E41" s="0" t="n">
        <v>1</v>
      </c>
      <c r="F41" s="0" t="s">
        <v>38</v>
      </c>
      <c r="G41" s="0" t="s">
        <v>352</v>
      </c>
      <c r="H41" s="0" t="s">
        <v>353</v>
      </c>
      <c r="J41" s="0" t="s">
        <v>354</v>
      </c>
      <c r="K41" s="0" t="s">
        <v>44</v>
      </c>
      <c r="L41" s="0" t="s">
        <v>355</v>
      </c>
      <c r="M41" s="0" t="s">
        <v>356</v>
      </c>
      <c r="N41" s="0" t="s">
        <v>357</v>
      </c>
      <c r="O41" s="0" t="s">
        <v>44</v>
      </c>
      <c r="P41" s="0" t="s">
        <v>44</v>
      </c>
      <c r="Q41" s="3" t="s">
        <v>358</v>
      </c>
      <c r="R41" s="3"/>
      <c r="S41" s="4"/>
      <c r="T41" s="5"/>
      <c r="U41" s="4"/>
      <c r="V41" s="5"/>
      <c r="W41" s="5"/>
      <c r="X41" s="4"/>
      <c r="Y41" s="5"/>
      <c r="Z41" s="3" t="s">
        <v>359</v>
      </c>
      <c r="AA41" s="3" t="s">
        <v>359</v>
      </c>
      <c r="AB41" s="6" t="n">
        <v>1</v>
      </c>
      <c r="AC41" s="7"/>
      <c r="AD41" s="3"/>
      <c r="AE41" s="5" t="s">
        <v>49</v>
      </c>
      <c r="AF41" s="5" t="s">
        <v>360</v>
      </c>
      <c r="AG41" s="8" t="s">
        <v>352</v>
      </c>
      <c r="AH41" s="9" t="n">
        <f aca="false">IF(OR(J41="",J41="-"),"",LEN(J41)-LEN(SUBSTITUTE(J41,",",""))+1)</f>
        <v>2</v>
      </c>
      <c r="AI41" s="5" t="s">
        <v>52</v>
      </c>
    </row>
    <row r="42" customFormat="false" ht="16" hidden="false" customHeight="false" outlineLevel="0" collapsed="false">
      <c r="A42" s="0" t="n">
        <v>41</v>
      </c>
      <c r="B42" s="0" t="s">
        <v>361</v>
      </c>
      <c r="C42" s="0" t="s">
        <v>362</v>
      </c>
      <c r="D42" s="12" t="n">
        <v>45920</v>
      </c>
      <c r="E42" s="0" t="n">
        <v>1</v>
      </c>
      <c r="F42" s="0" t="s">
        <v>38</v>
      </c>
      <c r="G42" s="0" t="s">
        <v>44</v>
      </c>
      <c r="H42" s="0" t="s">
        <v>363</v>
      </c>
      <c r="I42" s="0" t="s">
        <v>364</v>
      </c>
      <c r="J42" s="0" t="s">
        <v>365</v>
      </c>
      <c r="K42" s="0" t="s">
        <v>44</v>
      </c>
      <c r="M42" s="0" t="s">
        <v>45</v>
      </c>
      <c r="N42" s="0" t="s">
        <v>366</v>
      </c>
      <c r="O42" s="0" t="s">
        <v>367</v>
      </c>
      <c r="P42" s="0" t="s">
        <v>44</v>
      </c>
      <c r="Q42" s="3"/>
      <c r="R42" s="3"/>
      <c r="S42" s="4"/>
      <c r="T42" s="5"/>
      <c r="U42" s="4"/>
      <c r="V42" s="5"/>
      <c r="W42" s="5"/>
      <c r="X42" s="4"/>
      <c r="Y42" s="5"/>
      <c r="Z42" s="3"/>
      <c r="AA42" s="3"/>
      <c r="AB42" s="6"/>
      <c r="AC42" s="7"/>
      <c r="AD42" s="3"/>
      <c r="AE42" s="5"/>
      <c r="AF42" s="5"/>
      <c r="AG42" s="8"/>
      <c r="AH42" s="9" t="n">
        <f aca="false">IF(OR(J42="",J42="-"),"",LEN(J42)-LEN(SUBSTITUTE(J42,",",""))+1)</f>
        <v>1</v>
      </c>
      <c r="AI42" s="5"/>
    </row>
    <row r="43" customFormat="false" ht="16" hidden="false" customHeight="false" outlineLevel="0" collapsed="false">
      <c r="A43" s="0" t="n">
        <v>42</v>
      </c>
      <c r="B43" s="0" t="s">
        <v>368</v>
      </c>
      <c r="C43" s="0" t="s">
        <v>369</v>
      </c>
      <c r="D43" s="12" t="n">
        <v>45930</v>
      </c>
      <c r="E43" s="0" t="n">
        <v>1</v>
      </c>
      <c r="F43" s="0" t="s">
        <v>38</v>
      </c>
      <c r="G43" s="0" t="s">
        <v>370</v>
      </c>
      <c r="H43" s="0" t="s">
        <v>371</v>
      </c>
      <c r="I43" s="0" t="s">
        <v>372</v>
      </c>
      <c r="J43" s="0" t="s">
        <v>365</v>
      </c>
      <c r="K43" s="0" t="s">
        <v>373</v>
      </c>
      <c r="L43" s="0" t="s">
        <v>369</v>
      </c>
      <c r="M43" s="0" t="s">
        <v>45</v>
      </c>
      <c r="N43" s="0" t="s">
        <v>374</v>
      </c>
      <c r="O43" s="0" t="s">
        <v>375</v>
      </c>
      <c r="P43" s="0" t="s">
        <v>44</v>
      </c>
      <c r="Q43" s="3" t="s">
        <v>376</v>
      </c>
      <c r="R43" s="3"/>
      <c r="S43" s="4"/>
      <c r="T43" s="5"/>
      <c r="U43" s="4" t="n">
        <v>500</v>
      </c>
      <c r="V43" s="5" t="s">
        <v>83</v>
      </c>
      <c r="W43" s="5"/>
      <c r="X43" s="4"/>
      <c r="Y43" s="5"/>
      <c r="Z43" s="3" t="s">
        <v>377</v>
      </c>
      <c r="AA43" s="3"/>
      <c r="AB43" s="6"/>
      <c r="AC43" s="7"/>
      <c r="AD43" s="3"/>
      <c r="AE43" s="5" t="s">
        <v>49</v>
      </c>
      <c r="AF43" s="5" t="s">
        <v>378</v>
      </c>
      <c r="AG43" s="8" t="s">
        <v>379</v>
      </c>
      <c r="AH43" s="9" t="n">
        <f aca="false">IF(OR(J43="",J43="-"),"",LEN(J43)-LEN(SUBSTITUTE(J43,",",""))+1)</f>
        <v>1</v>
      </c>
      <c r="AI43" s="5" t="s">
        <v>52</v>
      </c>
    </row>
    <row r="44" customFormat="false" ht="16" hidden="false" customHeight="false" outlineLevel="0" collapsed="false">
      <c r="A44" s="0" t="n">
        <v>43</v>
      </c>
      <c r="B44" s="0" t="s">
        <v>380</v>
      </c>
      <c r="C44" s="0" t="s">
        <v>381</v>
      </c>
      <c r="D44" s="13" t="n">
        <v>45932</v>
      </c>
      <c r="E44" s="0" t="n">
        <v>1</v>
      </c>
      <c r="F44" s="0" t="s">
        <v>38</v>
      </c>
      <c r="G44" s="0" t="s">
        <v>44</v>
      </c>
      <c r="H44" s="0" t="s">
        <v>382</v>
      </c>
      <c r="I44" s="0" t="s">
        <v>383</v>
      </c>
      <c r="J44" s="0" t="s">
        <v>365</v>
      </c>
      <c r="K44" s="0" t="s">
        <v>384</v>
      </c>
      <c r="L44" s="0" t="s">
        <v>44</v>
      </c>
      <c r="M44" s="0" t="s">
        <v>45</v>
      </c>
      <c r="N44" s="0" t="s">
        <v>336</v>
      </c>
      <c r="O44" s="0" t="s">
        <v>44</v>
      </c>
      <c r="P44" s="0" t="s">
        <v>44</v>
      </c>
      <c r="Q44" s="3"/>
      <c r="R44" s="3"/>
      <c r="S44" s="4"/>
      <c r="T44" s="5"/>
      <c r="U44" s="4"/>
      <c r="V44" s="5"/>
      <c r="W44" s="5"/>
      <c r="X44" s="4"/>
      <c r="Y44" s="5"/>
      <c r="Z44" s="3"/>
      <c r="AA44" s="3"/>
      <c r="AB44" s="6"/>
      <c r="AC44" s="7"/>
      <c r="AD44" s="3"/>
      <c r="AE44" s="5"/>
      <c r="AF44" s="5"/>
      <c r="AG44" s="8"/>
      <c r="AH44" s="9" t="n">
        <f aca="false">IF(OR(J44="",J44="-"),"",LEN(J44)-LEN(SUBSTITUTE(J44,",",""))+1)</f>
        <v>1</v>
      </c>
      <c r="AI44" s="5"/>
    </row>
    <row r="45" customFormat="false" ht="16" hidden="false" customHeight="false" outlineLevel="0" collapsed="false">
      <c r="A45" s="0" t="n">
        <v>44</v>
      </c>
      <c r="B45" s="0" t="s">
        <v>385</v>
      </c>
      <c r="C45" s="0" t="s">
        <v>386</v>
      </c>
      <c r="D45" s="1" t="s">
        <v>387</v>
      </c>
      <c r="E45" s="0" t="n">
        <v>2</v>
      </c>
      <c r="F45" s="0" t="s">
        <v>38</v>
      </c>
      <c r="G45" s="0" t="s">
        <v>44</v>
      </c>
      <c r="H45" s="0" t="s">
        <v>314</v>
      </c>
      <c r="I45" s="0" t="s">
        <v>388</v>
      </c>
      <c r="J45" s="0" t="s">
        <v>389</v>
      </c>
      <c r="K45" s="0" t="s">
        <v>390</v>
      </c>
      <c r="L45" s="0" t="s">
        <v>391</v>
      </c>
      <c r="M45" s="0" t="s">
        <v>45</v>
      </c>
      <c r="N45" s="0" t="s">
        <v>127</v>
      </c>
      <c r="O45" s="0" t="s">
        <v>392</v>
      </c>
      <c r="P45" s="0" t="s">
        <v>44</v>
      </c>
      <c r="Q45" s="3"/>
      <c r="R45" s="3"/>
      <c r="S45" s="4"/>
      <c r="T45" s="5"/>
      <c r="U45" s="4"/>
      <c r="V45" s="5"/>
      <c r="W45" s="5"/>
      <c r="X45" s="4"/>
      <c r="Y45" s="5"/>
      <c r="Z45" s="3"/>
      <c r="AA45" s="3"/>
      <c r="AB45" s="6"/>
      <c r="AC45" s="7"/>
      <c r="AD45" s="3"/>
      <c r="AE45" s="5"/>
      <c r="AF45" s="5"/>
      <c r="AG45" s="8"/>
      <c r="AH45" s="9" t="n">
        <f aca="false">IF(OR(J45="",J45="-"),"",LEN(J45)-LEN(SUBSTITUTE(J45,",",""))+1)</f>
        <v>4</v>
      </c>
      <c r="AI45" s="5"/>
    </row>
    <row r="46" customFormat="false" ht="16" hidden="false" customHeight="false" outlineLevel="0" collapsed="false">
      <c r="A46" s="0" t="n">
        <v>45</v>
      </c>
      <c r="B46" s="0" t="s">
        <v>393</v>
      </c>
      <c r="C46" s="0" t="s">
        <v>394</v>
      </c>
      <c r="D46" s="13" t="n">
        <v>45954</v>
      </c>
      <c r="E46" s="0" t="n">
        <v>1</v>
      </c>
      <c r="F46" s="0" t="s">
        <v>38</v>
      </c>
      <c r="G46" s="0" t="s">
        <v>44</v>
      </c>
      <c r="H46" s="0" t="s">
        <v>314</v>
      </c>
      <c r="I46" s="0" t="s">
        <v>395</v>
      </c>
      <c r="J46" s="0" t="s">
        <v>396</v>
      </c>
      <c r="K46" s="0" t="s">
        <v>397</v>
      </c>
      <c r="L46" s="0" t="s">
        <v>398</v>
      </c>
      <c r="M46" s="0" t="s">
        <v>45</v>
      </c>
      <c r="N46" s="0" t="s">
        <v>399</v>
      </c>
      <c r="O46" s="0" t="s">
        <v>400</v>
      </c>
      <c r="P46" s="0" t="s">
        <v>44</v>
      </c>
      <c r="Q46" s="3"/>
      <c r="R46" s="3"/>
      <c r="S46" s="4"/>
      <c r="T46" s="5"/>
      <c r="U46" s="4"/>
      <c r="V46" s="5"/>
      <c r="W46" s="5"/>
      <c r="X46" s="4"/>
      <c r="Y46" s="5"/>
      <c r="Z46" s="3"/>
      <c r="AA46" s="3"/>
      <c r="AB46" s="6"/>
      <c r="AC46" s="7"/>
      <c r="AD46" s="3"/>
      <c r="AE46" s="5"/>
      <c r="AF46" s="5"/>
      <c r="AG46" s="8"/>
      <c r="AH46" s="9" t="n">
        <f aca="false">IF(OR(J46="",J46="-"),"",LEN(J46)-LEN(SUBSTITUTE(J46,",",""))+1)</f>
        <v>4</v>
      </c>
      <c r="AI46" s="5"/>
    </row>
    <row r="47" customFormat="false" ht="16" hidden="false" customHeight="false" outlineLevel="0" collapsed="false">
      <c r="A47" s="0" t="n">
        <v>46</v>
      </c>
      <c r="B47" s="0" t="s">
        <v>401</v>
      </c>
      <c r="C47" s="0" t="s">
        <v>402</v>
      </c>
      <c r="D47" s="13" t="s">
        <v>403</v>
      </c>
      <c r="E47" s="0" t="n">
        <v>2.5</v>
      </c>
      <c r="F47" s="0" t="s">
        <v>38</v>
      </c>
      <c r="G47" s="0" t="s">
        <v>44</v>
      </c>
      <c r="H47" s="0" t="s">
        <v>404</v>
      </c>
      <c r="I47" s="0" t="s">
        <v>405</v>
      </c>
      <c r="J47" s="0" t="s">
        <v>406</v>
      </c>
      <c r="K47" s="0" t="s">
        <v>407</v>
      </c>
      <c r="L47" s="0" t="s">
        <v>408</v>
      </c>
      <c r="M47" s="0" t="s">
        <v>45</v>
      </c>
      <c r="N47" s="0" t="s">
        <v>409</v>
      </c>
      <c r="O47" s="0" t="s">
        <v>410</v>
      </c>
      <c r="P47" s="0" t="s">
        <v>44</v>
      </c>
      <c r="Q47" s="3"/>
      <c r="R47" s="3"/>
      <c r="S47" s="4"/>
      <c r="T47" s="5"/>
      <c r="U47" s="4"/>
      <c r="V47" s="5"/>
      <c r="W47" s="5"/>
      <c r="X47" s="4"/>
      <c r="Y47" s="5"/>
      <c r="Z47" s="3"/>
      <c r="AA47" s="3"/>
      <c r="AB47" s="6"/>
      <c r="AC47" s="7"/>
      <c r="AD47" s="3"/>
      <c r="AE47" s="5"/>
      <c r="AF47" s="5"/>
      <c r="AG47" s="8"/>
      <c r="AH47" s="9" t="n">
        <f aca="false">IF(OR(J47="",J47="-"),"",LEN(J47)-LEN(SUBSTITUTE(J47,",",""))+1)</f>
        <v>4</v>
      </c>
      <c r="AI47" s="5"/>
    </row>
    <row r="48" customFormat="false" ht="49.75" hidden="false" customHeight="true" outlineLevel="0" collapsed="false">
      <c r="A48" s="0" t="n">
        <v>47</v>
      </c>
      <c r="B48" s="0" t="s">
        <v>411</v>
      </c>
      <c r="C48" s="0" t="s">
        <v>412</v>
      </c>
      <c r="D48" s="1" t="s">
        <v>413</v>
      </c>
      <c r="E48" s="0" t="n">
        <v>2</v>
      </c>
      <c r="F48" s="0" t="s">
        <v>38</v>
      </c>
      <c r="G48" s="0" t="s">
        <v>44</v>
      </c>
      <c r="H48" s="0" t="s">
        <v>314</v>
      </c>
      <c r="I48" s="0" t="s">
        <v>414</v>
      </c>
      <c r="J48" s="0" t="s">
        <v>365</v>
      </c>
      <c r="K48" s="0" t="s">
        <v>415</v>
      </c>
      <c r="L48" s="0" t="s">
        <v>412</v>
      </c>
      <c r="M48" s="0" t="s">
        <v>45</v>
      </c>
      <c r="N48" s="0" t="s">
        <v>416</v>
      </c>
      <c r="O48" s="0" t="s">
        <v>417</v>
      </c>
      <c r="P48" s="0" t="s">
        <v>44</v>
      </c>
      <c r="Q48" s="3"/>
      <c r="R48" s="3"/>
      <c r="S48" s="4"/>
      <c r="T48" s="5"/>
      <c r="U48" s="4"/>
      <c r="V48" s="5"/>
      <c r="W48" s="5"/>
      <c r="X48" s="4"/>
      <c r="Y48" s="5"/>
      <c r="Z48" s="3"/>
      <c r="AA48" s="3"/>
      <c r="AB48" s="6"/>
      <c r="AC48" s="7"/>
      <c r="AD48" s="3"/>
      <c r="AE48" s="5"/>
      <c r="AF48" s="5"/>
      <c r="AG48" s="8"/>
      <c r="AH48" s="9" t="n">
        <f aca="false">IF(OR(J48="",J48="-"),"",LEN(J48)-LEN(SUBSTITUTE(J48,",",""))+1)</f>
        <v>1</v>
      </c>
      <c r="AI48" s="5"/>
    </row>
    <row r="49" customFormat="false" ht="16" hidden="false" customHeight="false" outlineLevel="0" collapsed="false">
      <c r="A49" s="0" t="n">
        <v>48</v>
      </c>
      <c r="B49" s="0" t="s">
        <v>411</v>
      </c>
      <c r="C49" s="0" t="s">
        <v>412</v>
      </c>
      <c r="D49" s="1" t="s">
        <v>413</v>
      </c>
      <c r="E49" s="0" t="n">
        <v>2</v>
      </c>
      <c r="F49" s="0" t="s">
        <v>38</v>
      </c>
      <c r="G49" s="0" t="s">
        <v>44</v>
      </c>
      <c r="H49" s="0" t="s">
        <v>314</v>
      </c>
      <c r="I49" s="0" t="s">
        <v>418</v>
      </c>
      <c r="J49" s="0" t="s">
        <v>419</v>
      </c>
      <c r="K49" s="0" t="s">
        <v>420</v>
      </c>
      <c r="L49" s="0" t="s">
        <v>412</v>
      </c>
      <c r="M49" s="0" t="s">
        <v>45</v>
      </c>
      <c r="N49" s="0" t="s">
        <v>416</v>
      </c>
      <c r="O49" s="0" t="s">
        <v>421</v>
      </c>
      <c r="P49" s="0" t="s">
        <v>44</v>
      </c>
      <c r="Q49" s="3"/>
      <c r="R49" s="3"/>
      <c r="S49" s="4"/>
      <c r="T49" s="5"/>
      <c r="U49" s="4"/>
      <c r="V49" s="5"/>
      <c r="W49" s="5"/>
      <c r="X49" s="4"/>
      <c r="Y49" s="5"/>
      <c r="Z49" s="3"/>
      <c r="AA49" s="3"/>
      <c r="AB49" s="6"/>
      <c r="AC49" s="7"/>
      <c r="AD49" s="3"/>
      <c r="AE49" s="5"/>
      <c r="AF49" s="5"/>
      <c r="AG49" s="8"/>
      <c r="AH49" s="9" t="n">
        <f aca="false">IF(OR(J49="",J49="-"),"",LEN(J49)-LEN(SUBSTITUTE(J49,",",""))+1)</f>
        <v>2</v>
      </c>
      <c r="AI49" s="5"/>
    </row>
    <row r="50" customFormat="false" ht="25.35" hidden="false" customHeight="false" outlineLevel="0" collapsed="false">
      <c r="A50" s="0" t="n">
        <v>49</v>
      </c>
      <c r="B50" s="0" t="s">
        <v>422</v>
      </c>
      <c r="C50" s="0" t="s">
        <v>423</v>
      </c>
      <c r="D50" s="10" t="s">
        <v>424</v>
      </c>
      <c r="E50" s="0" t="n">
        <v>1</v>
      </c>
      <c r="F50" s="0" t="s">
        <v>38</v>
      </c>
      <c r="G50" s="0" t="s">
        <v>44</v>
      </c>
      <c r="H50" s="0" t="s">
        <v>425</v>
      </c>
      <c r="I50" s="0" t="s">
        <v>426</v>
      </c>
      <c r="J50" s="0" t="s">
        <v>427</v>
      </c>
      <c r="K50" s="0" t="s">
        <v>428</v>
      </c>
      <c r="L50" s="14" t="s">
        <v>429</v>
      </c>
      <c r="M50" s="0" t="s">
        <v>45</v>
      </c>
      <c r="N50" s="0" t="s">
        <v>430</v>
      </c>
      <c r="O50" s="0" t="s">
        <v>431</v>
      </c>
      <c r="P50" s="0" t="s">
        <v>432</v>
      </c>
      <c r="Q50" s="3"/>
      <c r="R50" s="3"/>
      <c r="S50" s="4"/>
      <c r="T50" s="5"/>
      <c r="U50" s="4"/>
      <c r="V50" s="5"/>
      <c r="W50" s="5"/>
      <c r="X50" s="4"/>
      <c r="Y50" s="5"/>
      <c r="Z50" s="3"/>
      <c r="AA50" s="3"/>
      <c r="AB50" s="6"/>
      <c r="AC50" s="7"/>
      <c r="AD50" s="3"/>
      <c r="AE50" s="5"/>
      <c r="AF50" s="5"/>
      <c r="AG50" s="8"/>
      <c r="AH50" s="9" t="n">
        <f aca="false">IF(OR(J50="",J50="-"),"",LEN(J50)-LEN(SUBSTITUTE(J50,",",""))+1)</f>
        <v>3</v>
      </c>
      <c r="AI50" s="5"/>
    </row>
    <row r="51" customFormat="false" ht="16" hidden="false" customHeight="false" outlineLevel="0" collapsed="false">
      <c r="A51" s="0" t="n">
        <v>50</v>
      </c>
      <c r="B51" s="0" t="s">
        <v>433</v>
      </c>
      <c r="C51" s="0" t="s">
        <v>434</v>
      </c>
      <c r="D51" s="13" t="n">
        <v>46205</v>
      </c>
      <c r="E51" s="0" t="n">
        <v>1</v>
      </c>
      <c r="F51" s="0" t="s">
        <v>38</v>
      </c>
      <c r="G51" s="0" t="s">
        <v>435</v>
      </c>
      <c r="H51" s="0" t="s">
        <v>436</v>
      </c>
      <c r="I51" s="0" t="s">
        <v>437</v>
      </c>
      <c r="J51" s="0" t="s">
        <v>438</v>
      </c>
      <c r="K51" s="0" t="s">
        <v>439</v>
      </c>
      <c r="L51" s="0" t="s">
        <v>440</v>
      </c>
      <c r="M51" s="0" t="s">
        <v>45</v>
      </c>
      <c r="N51" s="0" t="s">
        <v>374</v>
      </c>
      <c r="O51" s="0" t="s">
        <v>441</v>
      </c>
      <c r="P51" s="0" t="s">
        <v>442</v>
      </c>
      <c r="Q51" s="3" t="s">
        <v>376</v>
      </c>
      <c r="R51" s="3"/>
      <c r="S51" s="4"/>
      <c r="T51" s="5"/>
      <c r="U51" s="4" t="n">
        <v>1000</v>
      </c>
      <c r="V51" s="5" t="s">
        <v>83</v>
      </c>
      <c r="W51" s="5"/>
      <c r="X51" s="4"/>
      <c r="Y51" s="5"/>
      <c r="Z51" s="3" t="s">
        <v>443</v>
      </c>
      <c r="AA51" s="3"/>
      <c r="AB51" s="6"/>
      <c r="AC51" s="7"/>
      <c r="AD51" s="3"/>
      <c r="AE51" s="5" t="s">
        <v>49</v>
      </c>
      <c r="AF51" s="5" t="s">
        <v>444</v>
      </c>
      <c r="AG51" s="8" t="s">
        <v>445</v>
      </c>
      <c r="AH51" s="9" t="n">
        <f aca="false">IF(OR(J51="",J51="-"),"",LEN(J51)-LEN(SUBSTITUTE(J51,",",""))+1)</f>
        <v>3</v>
      </c>
      <c r="AI51" s="5" t="s">
        <v>52</v>
      </c>
    </row>
    <row r="52" customFormat="false" ht="16" hidden="false" customHeight="false" outlineLevel="0" collapsed="false">
      <c r="A52" s="0" t="n">
        <v>51</v>
      </c>
      <c r="B52" s="0" t="s">
        <v>433</v>
      </c>
      <c r="C52" s="0" t="s">
        <v>434</v>
      </c>
      <c r="D52" s="13" t="n">
        <v>46205</v>
      </c>
      <c r="E52" s="0" t="n">
        <v>1</v>
      </c>
      <c r="F52" s="0" t="s">
        <v>38</v>
      </c>
      <c r="G52" s="0" t="s">
        <v>44</v>
      </c>
      <c r="H52" s="0" t="s">
        <v>436</v>
      </c>
      <c r="I52" s="0" t="s">
        <v>446</v>
      </c>
      <c r="J52" s="0" t="s">
        <v>438</v>
      </c>
      <c r="K52" s="0" t="s">
        <v>447</v>
      </c>
      <c r="L52" s="0" t="s">
        <v>440</v>
      </c>
      <c r="M52" s="0" t="s">
        <v>45</v>
      </c>
      <c r="N52" s="0" t="s">
        <v>374</v>
      </c>
      <c r="O52" s="0" t="s">
        <v>448</v>
      </c>
      <c r="P52" s="0" t="s">
        <v>442</v>
      </c>
      <c r="Q52" s="3"/>
      <c r="R52" s="3"/>
      <c r="S52" s="4"/>
      <c r="T52" s="5"/>
      <c r="U52" s="4"/>
      <c r="V52" s="5"/>
      <c r="W52" s="5"/>
      <c r="X52" s="4"/>
      <c r="Y52" s="5"/>
      <c r="Z52" s="3"/>
      <c r="AA52" s="3"/>
      <c r="AB52" s="6"/>
      <c r="AC52" s="7"/>
      <c r="AD52" s="3"/>
      <c r="AE52" s="5"/>
      <c r="AF52" s="5"/>
      <c r="AG52" s="8"/>
      <c r="AH52" s="9" t="n">
        <f aca="false">IF(OR(J52="",J52="-"),"",LEN(J52)-LEN(SUBSTITUTE(J52,",",""))+1)</f>
        <v>3</v>
      </c>
      <c r="AI52" s="5"/>
    </row>
    <row r="53" customFormat="false" ht="16" hidden="false" customHeight="false" outlineLevel="0" collapsed="false">
      <c r="A53" s="0" t="n">
        <v>52</v>
      </c>
      <c r="B53" s="0" t="s">
        <v>449</v>
      </c>
      <c r="C53" s="0" t="s">
        <v>434</v>
      </c>
      <c r="D53" s="1" t="s">
        <v>450</v>
      </c>
      <c r="E53" s="0" t="n">
        <v>1</v>
      </c>
      <c r="F53" s="0" t="s">
        <v>38</v>
      </c>
      <c r="G53" s="0" t="s">
        <v>451</v>
      </c>
      <c r="H53" s="0" t="s">
        <v>436</v>
      </c>
      <c r="I53" s="0" t="s">
        <v>452</v>
      </c>
      <c r="J53" s="0" t="s">
        <v>427</v>
      </c>
      <c r="K53" s="0" t="s">
        <v>453</v>
      </c>
      <c r="L53" s="0" t="s">
        <v>454</v>
      </c>
      <c r="M53" s="0" t="s">
        <v>45</v>
      </c>
      <c r="N53" s="0" t="s">
        <v>69</v>
      </c>
      <c r="O53" s="0" t="s">
        <v>455</v>
      </c>
      <c r="P53" s="0" t="s">
        <v>456</v>
      </c>
      <c r="Q53" s="3" t="s">
        <v>376</v>
      </c>
      <c r="R53" s="3"/>
      <c r="S53" s="4"/>
      <c r="T53" s="5"/>
      <c r="U53" s="4" t="n">
        <v>500</v>
      </c>
      <c r="V53" s="5" t="s">
        <v>83</v>
      </c>
      <c r="W53" s="5"/>
      <c r="X53" s="4"/>
      <c r="Y53" s="5"/>
      <c r="Z53" s="3" t="s">
        <v>457</v>
      </c>
      <c r="AA53" s="3"/>
      <c r="AB53" s="6"/>
      <c r="AC53" s="7"/>
      <c r="AD53" s="3"/>
      <c r="AE53" s="5" t="s">
        <v>49</v>
      </c>
      <c r="AF53" s="5" t="s">
        <v>444</v>
      </c>
      <c r="AG53" s="8" t="s">
        <v>458</v>
      </c>
      <c r="AH53" s="9" t="n">
        <f aca="false">IF(OR(J53="",J53="-"),"",LEN(J53)-LEN(SUBSTITUTE(J53,",",""))+1)</f>
        <v>3</v>
      </c>
      <c r="AI53" s="5" t="s">
        <v>52</v>
      </c>
    </row>
    <row r="54" customFormat="false" ht="16" hidden="false" customHeight="false" outlineLevel="0" collapsed="false">
      <c r="A54" s="0" t="n">
        <v>53</v>
      </c>
      <c r="B54" s="0" t="s">
        <v>449</v>
      </c>
      <c r="C54" s="0" t="s">
        <v>434</v>
      </c>
      <c r="D54" s="1" t="s">
        <v>450</v>
      </c>
      <c r="E54" s="0" t="n">
        <v>1</v>
      </c>
      <c r="F54" s="0" t="s">
        <v>38</v>
      </c>
      <c r="G54" s="0" t="s">
        <v>451</v>
      </c>
      <c r="H54" s="0" t="s">
        <v>436</v>
      </c>
      <c r="I54" s="0" t="s">
        <v>459</v>
      </c>
      <c r="J54" s="0" t="s">
        <v>427</v>
      </c>
      <c r="K54" s="0" t="s">
        <v>460</v>
      </c>
      <c r="L54" s="0" t="s">
        <v>461</v>
      </c>
      <c r="M54" s="0" t="s">
        <v>45</v>
      </c>
      <c r="N54" s="0" t="s">
        <v>69</v>
      </c>
      <c r="O54" s="0" t="s">
        <v>462</v>
      </c>
      <c r="P54" s="0" t="s">
        <v>456</v>
      </c>
      <c r="Q54" s="3" t="s">
        <v>376</v>
      </c>
      <c r="R54" s="3"/>
      <c r="S54" s="4"/>
      <c r="T54" s="5"/>
      <c r="U54" s="4" t="n">
        <v>500</v>
      </c>
      <c r="V54" s="5" t="s">
        <v>83</v>
      </c>
      <c r="W54" s="5"/>
      <c r="X54" s="4"/>
      <c r="Y54" s="5"/>
      <c r="Z54" s="3" t="s">
        <v>457</v>
      </c>
      <c r="AA54" s="3"/>
      <c r="AB54" s="6"/>
      <c r="AC54" s="7"/>
      <c r="AD54" s="3"/>
      <c r="AE54" s="5" t="s">
        <v>49</v>
      </c>
      <c r="AF54" s="5" t="s">
        <v>444</v>
      </c>
      <c r="AG54" s="8" t="s">
        <v>458</v>
      </c>
      <c r="AH54" s="9" t="n">
        <f aca="false">IF(OR(J54="",J54="-"),"",LEN(J54)-LEN(SUBSTITUTE(J54,",",""))+1)</f>
        <v>3</v>
      </c>
      <c r="AI54" s="5" t="s">
        <v>52</v>
      </c>
    </row>
    <row r="55" customFormat="false" ht="25.35" hidden="false" customHeight="false" outlineLevel="0" collapsed="false">
      <c r="A55" s="0" t="n">
        <v>54</v>
      </c>
      <c r="B55" s="0" t="s">
        <v>463</v>
      </c>
      <c r="C55" s="14" t="s">
        <v>464</v>
      </c>
      <c r="D55" s="1" t="s">
        <v>465</v>
      </c>
      <c r="E55" s="0" t="n">
        <v>1</v>
      </c>
      <c r="F55" s="0" t="s">
        <v>38</v>
      </c>
      <c r="G55" s="0" t="s">
        <v>466</v>
      </c>
      <c r="H55" s="0" t="s">
        <v>467</v>
      </c>
      <c r="I55" s="14" t="s">
        <v>468</v>
      </c>
      <c r="J55" s="0" t="s">
        <v>469</v>
      </c>
      <c r="K55" s="0" t="s">
        <v>470</v>
      </c>
      <c r="L55" s="0" t="s">
        <v>44</v>
      </c>
      <c r="M55" s="0" t="s">
        <v>45</v>
      </c>
      <c r="N55" s="0" t="s">
        <v>471</v>
      </c>
      <c r="O55" s="0" t="s">
        <v>44</v>
      </c>
      <c r="P55" s="0" t="s">
        <v>472</v>
      </c>
      <c r="Q55" s="3" t="s">
        <v>376</v>
      </c>
      <c r="R55" s="3"/>
      <c r="S55" s="4"/>
      <c r="T55" s="5"/>
      <c r="U55" s="4" t="n">
        <v>150</v>
      </c>
      <c r="V55" s="5" t="s">
        <v>83</v>
      </c>
      <c r="W55" s="5"/>
      <c r="X55" s="4"/>
      <c r="Y55" s="5"/>
      <c r="Z55" s="3" t="s">
        <v>473</v>
      </c>
      <c r="AA55" s="3"/>
      <c r="AB55" s="6"/>
      <c r="AC55" s="7"/>
      <c r="AD55" s="3"/>
      <c r="AE55" s="5" t="s">
        <v>49</v>
      </c>
      <c r="AF55" s="5" t="s">
        <v>444</v>
      </c>
      <c r="AG55" s="8" t="s">
        <v>474</v>
      </c>
      <c r="AH55" s="9" t="n">
        <f aca="false">IF(OR(J55="",J55="-"),"",LEN(J55)-LEN(SUBSTITUTE(J55,",",""))+1)</f>
        <v>3</v>
      </c>
      <c r="AI55" s="5" t="s">
        <v>52</v>
      </c>
    </row>
    <row r="56" customFormat="false" ht="16" hidden="false" customHeight="false" outlineLevel="0" collapsed="false">
      <c r="A56" s="0" t="n">
        <v>55</v>
      </c>
      <c r="B56" s="0" t="s">
        <v>475</v>
      </c>
      <c r="C56" s="0" t="s">
        <v>476</v>
      </c>
      <c r="D56" s="1" t="s">
        <v>477</v>
      </c>
      <c r="E56" s="0" t="n">
        <v>1</v>
      </c>
      <c r="F56" s="0" t="s">
        <v>38</v>
      </c>
      <c r="G56" s="0" t="s">
        <v>44</v>
      </c>
      <c r="H56" s="0" t="s">
        <v>467</v>
      </c>
      <c r="I56" s="14" t="s">
        <v>478</v>
      </c>
      <c r="J56" s="0" t="s">
        <v>469</v>
      </c>
      <c r="K56" s="0" t="s">
        <v>479</v>
      </c>
      <c r="L56" s="0" t="s">
        <v>44</v>
      </c>
      <c r="M56" s="0" t="s">
        <v>45</v>
      </c>
      <c r="N56" s="0" t="s">
        <v>69</v>
      </c>
      <c r="O56" s="0" t="s">
        <v>44</v>
      </c>
      <c r="P56" s="0" t="s">
        <v>480</v>
      </c>
      <c r="Q56" s="3"/>
      <c r="R56" s="3"/>
      <c r="S56" s="4"/>
      <c r="T56" s="5"/>
      <c r="U56" s="4"/>
      <c r="V56" s="5"/>
      <c r="W56" s="5"/>
      <c r="X56" s="4"/>
      <c r="Y56" s="5"/>
      <c r="Z56" s="3"/>
      <c r="AA56" s="3"/>
      <c r="AB56" s="6"/>
      <c r="AC56" s="7"/>
      <c r="AD56" s="3"/>
      <c r="AE56" s="5"/>
      <c r="AF56" s="5"/>
      <c r="AG56" s="8"/>
      <c r="AH56" s="9" t="n">
        <f aca="false">IF(OR(J56="",J56="-"),"",LEN(J56)-LEN(SUBSTITUTE(J56,",",""))+1)</f>
        <v>3</v>
      </c>
      <c r="AI56" s="5"/>
    </row>
    <row r="57" customFormat="false" ht="16" hidden="false" customHeight="false" outlineLevel="0" collapsed="false">
      <c r="A57" s="0" t="n">
        <v>56</v>
      </c>
      <c r="B57" s="0" t="s">
        <v>481</v>
      </c>
      <c r="C57" s="0" t="s">
        <v>482</v>
      </c>
      <c r="D57" s="13" t="n">
        <v>46207</v>
      </c>
      <c r="E57" s="0" t="n">
        <v>1</v>
      </c>
      <c r="F57" s="0" t="s">
        <v>38</v>
      </c>
      <c r="G57" s="0" t="s">
        <v>44</v>
      </c>
      <c r="H57" s="0" t="s">
        <v>467</v>
      </c>
      <c r="I57" s="0" t="s">
        <v>483</v>
      </c>
      <c r="J57" s="0" t="s">
        <v>484</v>
      </c>
      <c r="K57" s="0" t="s">
        <v>485</v>
      </c>
      <c r="L57" s="0" t="s">
        <v>44</v>
      </c>
      <c r="M57" s="0" t="s">
        <v>45</v>
      </c>
      <c r="N57" s="0" t="s">
        <v>69</v>
      </c>
      <c r="O57" s="0" t="s">
        <v>486</v>
      </c>
      <c r="P57" s="0" t="s">
        <v>487</v>
      </c>
      <c r="Q57" s="3"/>
      <c r="R57" s="3"/>
      <c r="S57" s="4"/>
      <c r="T57" s="5"/>
      <c r="U57" s="4"/>
      <c r="V57" s="5"/>
      <c r="W57" s="5"/>
      <c r="X57" s="4"/>
      <c r="Y57" s="5"/>
      <c r="Z57" s="3"/>
      <c r="AA57" s="3"/>
      <c r="AB57" s="6"/>
      <c r="AC57" s="7"/>
      <c r="AD57" s="3"/>
      <c r="AE57" s="5"/>
      <c r="AF57" s="5"/>
      <c r="AG57" s="8"/>
      <c r="AH57" s="9" t="n">
        <f aca="false">IF(OR(J57="",J57="-"),"",LEN(J57)-LEN(SUBSTITUTE(J57,",",""))+1)</f>
        <v>1</v>
      </c>
      <c r="AI57" s="5"/>
    </row>
    <row r="58" customFormat="false" ht="25.35" hidden="false" customHeight="false" outlineLevel="0" collapsed="false">
      <c r="A58" s="0" t="n">
        <v>57</v>
      </c>
      <c r="B58" s="0" t="s">
        <v>488</v>
      </c>
      <c r="C58" s="0" t="s">
        <v>489</v>
      </c>
      <c r="D58" s="13" t="n">
        <v>46299</v>
      </c>
      <c r="E58" s="0" t="n">
        <v>1</v>
      </c>
      <c r="F58" s="0" t="s">
        <v>38</v>
      </c>
      <c r="G58" s="0" t="s">
        <v>490</v>
      </c>
      <c r="H58" s="0" t="s">
        <v>491</v>
      </c>
      <c r="I58" s="0" t="s">
        <v>492</v>
      </c>
      <c r="J58" s="0" t="s">
        <v>365</v>
      </c>
      <c r="K58" s="0" t="s">
        <v>493</v>
      </c>
      <c r="L58" s="0" t="s">
        <v>44</v>
      </c>
      <c r="M58" s="0" t="s">
        <v>45</v>
      </c>
      <c r="N58" s="0" t="s">
        <v>494</v>
      </c>
      <c r="O58" s="0" t="s">
        <v>495</v>
      </c>
      <c r="P58" s="0" t="s">
        <v>496</v>
      </c>
      <c r="Q58" s="3" t="s">
        <v>497</v>
      </c>
      <c r="R58" s="3"/>
      <c r="S58" s="4" t="n">
        <v>300</v>
      </c>
      <c r="T58" s="5" t="s">
        <v>48</v>
      </c>
      <c r="U58" s="4" t="n">
        <v>385</v>
      </c>
      <c r="V58" s="5" t="s">
        <v>48</v>
      </c>
      <c r="W58" s="5"/>
      <c r="X58" s="4"/>
      <c r="Y58" s="5"/>
      <c r="Z58" s="3" t="s">
        <v>457</v>
      </c>
      <c r="AA58" s="3"/>
      <c r="AB58" s="6"/>
      <c r="AC58" s="7"/>
      <c r="AD58" s="3"/>
      <c r="AE58" s="5" t="s">
        <v>152</v>
      </c>
      <c r="AF58" s="5" t="s">
        <v>498</v>
      </c>
      <c r="AG58" s="8" t="s">
        <v>499</v>
      </c>
      <c r="AH58" s="9" t="n">
        <f aca="false">IF(OR(J58="",J58="-"),"",LEN(J58)-LEN(SUBSTITUTE(J58,",",""))+1)</f>
        <v>1</v>
      </c>
      <c r="AI58" s="5" t="s">
        <v>52</v>
      </c>
    </row>
    <row r="59" customFormat="false" ht="16" hidden="false" customHeight="false" outlineLevel="0" collapsed="false">
      <c r="A59" s="0" t="n">
        <v>58</v>
      </c>
      <c r="B59" s="0" t="s">
        <v>500</v>
      </c>
      <c r="C59" s="0" t="s">
        <v>501</v>
      </c>
      <c r="D59" s="1" t="s">
        <v>502</v>
      </c>
      <c r="E59" s="0" t="n">
        <v>1</v>
      </c>
      <c r="F59" s="0" t="s">
        <v>38</v>
      </c>
      <c r="G59" s="0" t="s">
        <v>44</v>
      </c>
      <c r="H59" s="0" t="s">
        <v>183</v>
      </c>
      <c r="I59" s="0" t="s">
        <v>503</v>
      </c>
      <c r="J59" s="0" t="s">
        <v>504</v>
      </c>
      <c r="K59" s="0" t="s">
        <v>505</v>
      </c>
      <c r="L59" s="0" t="s">
        <v>506</v>
      </c>
      <c r="M59" s="0" t="s">
        <v>45</v>
      </c>
      <c r="N59" s="0" t="s">
        <v>69</v>
      </c>
      <c r="O59" s="0" t="s">
        <v>507</v>
      </c>
      <c r="P59" s="0" t="s">
        <v>508</v>
      </c>
      <c r="Q59" s="3"/>
      <c r="R59" s="3"/>
      <c r="S59" s="4"/>
      <c r="T59" s="5"/>
      <c r="U59" s="4"/>
      <c r="V59" s="5"/>
      <c r="W59" s="5"/>
      <c r="X59" s="4"/>
      <c r="Y59" s="5"/>
      <c r="Z59" s="3"/>
      <c r="AA59" s="3"/>
      <c r="AB59" s="6"/>
      <c r="AC59" s="7"/>
      <c r="AD59" s="3"/>
      <c r="AE59" s="5"/>
      <c r="AF59" s="5"/>
      <c r="AG59" s="8"/>
      <c r="AH59" s="9" t="n">
        <f aca="false">IF(OR(J59="",J59="-"),"",LEN(J59)-LEN(SUBSTITUTE(J59,",",""))+1)</f>
        <v>3</v>
      </c>
      <c r="AI59" s="5"/>
    </row>
    <row r="60" customFormat="false" ht="16" hidden="false" customHeight="false" outlineLevel="0" collapsed="false">
      <c r="A60" s="0" t="n">
        <v>59</v>
      </c>
      <c r="B60" s="0" t="s">
        <v>509</v>
      </c>
      <c r="C60" s="0" t="s">
        <v>510</v>
      </c>
      <c r="D60" s="1" t="s">
        <v>511</v>
      </c>
      <c r="E60" s="0" t="n">
        <v>1</v>
      </c>
      <c r="F60" s="0" t="s">
        <v>38</v>
      </c>
      <c r="G60" s="0" t="s">
        <v>44</v>
      </c>
      <c r="H60" s="0" t="s">
        <v>512</v>
      </c>
      <c r="I60" s="0" t="s">
        <v>513</v>
      </c>
      <c r="J60" s="0" t="s">
        <v>514</v>
      </c>
      <c r="K60" s="0" t="s">
        <v>515</v>
      </c>
      <c r="L60" s="0" t="s">
        <v>44</v>
      </c>
      <c r="M60" s="0" t="s">
        <v>45</v>
      </c>
      <c r="N60" s="0" t="s">
        <v>516</v>
      </c>
      <c r="O60" s="0" t="s">
        <v>517</v>
      </c>
      <c r="P60" s="0" t="s">
        <v>518</v>
      </c>
      <c r="Q60" s="3"/>
      <c r="R60" s="3"/>
      <c r="S60" s="4"/>
      <c r="T60" s="5"/>
      <c r="U60" s="4"/>
      <c r="V60" s="5"/>
      <c r="W60" s="5"/>
      <c r="X60" s="4"/>
      <c r="Y60" s="5"/>
      <c r="Z60" s="3"/>
      <c r="AA60" s="3"/>
      <c r="AB60" s="6"/>
      <c r="AC60" s="7"/>
      <c r="AD60" s="3"/>
      <c r="AE60" s="5"/>
      <c r="AF60" s="5"/>
      <c r="AG60" s="8"/>
      <c r="AH60" s="9" t="n">
        <f aca="false">IF(OR(J60="",J60="-"),"",LEN(J60)-LEN(SUBSTITUTE(J60,",",""))+1)</f>
        <v>3</v>
      </c>
      <c r="AI60" s="5"/>
    </row>
    <row r="61" customFormat="false" ht="16" hidden="false" customHeight="false" outlineLevel="0" collapsed="false">
      <c r="A61" s="0" t="n">
        <v>60</v>
      </c>
      <c r="B61" s="0" t="s">
        <v>519</v>
      </c>
      <c r="C61" s="0" t="s">
        <v>520</v>
      </c>
      <c r="D61" s="1" t="s">
        <v>521</v>
      </c>
      <c r="E61" s="0" t="n">
        <v>1</v>
      </c>
      <c r="F61" s="0" t="s">
        <v>38</v>
      </c>
      <c r="G61" s="0" t="s">
        <v>522</v>
      </c>
      <c r="H61" s="0" t="s">
        <v>523</v>
      </c>
      <c r="I61" s="0" t="s">
        <v>524</v>
      </c>
      <c r="J61" s="0" t="s">
        <v>365</v>
      </c>
      <c r="K61" s="0" t="s">
        <v>525</v>
      </c>
      <c r="L61" s="0" t="s">
        <v>44</v>
      </c>
      <c r="M61" s="0" t="s">
        <v>45</v>
      </c>
      <c r="N61" s="0" t="s">
        <v>526</v>
      </c>
      <c r="O61" s="0" t="s">
        <v>527</v>
      </c>
      <c r="P61" s="11" t="s">
        <v>528</v>
      </c>
      <c r="Q61" s="3" t="s">
        <v>6</v>
      </c>
      <c r="R61" s="3" t="s">
        <v>520</v>
      </c>
      <c r="S61" s="4"/>
      <c r="T61" s="5"/>
      <c r="U61" s="4" t="n">
        <v>2000</v>
      </c>
      <c r="V61" s="5" t="s">
        <v>83</v>
      </c>
      <c r="W61" s="5"/>
      <c r="X61" s="4"/>
      <c r="Y61" s="5"/>
      <c r="Z61" s="3" t="s">
        <v>529</v>
      </c>
      <c r="AA61" s="3"/>
      <c r="AB61" s="6"/>
      <c r="AC61" s="7"/>
      <c r="AD61" s="3"/>
      <c r="AE61" s="5" t="s">
        <v>49</v>
      </c>
      <c r="AF61" s="5" t="s">
        <v>530</v>
      </c>
      <c r="AG61" s="8" t="s">
        <v>531</v>
      </c>
      <c r="AH61" s="9" t="n">
        <f aca="false">IF(OR(J61="",J61="-"),"",LEN(J61)-LEN(SUBSTITUTE(J61,",",""))+1)</f>
        <v>1</v>
      </c>
      <c r="AI61" s="5" t="s">
        <v>52</v>
      </c>
    </row>
    <row r="62" customFormat="false" ht="16" hidden="false" customHeight="false" outlineLevel="0" collapsed="false">
      <c r="A62" s="0" t="n">
        <v>61</v>
      </c>
      <c r="B62" s="0" t="s">
        <v>532</v>
      </c>
      <c r="C62" s="0" t="s">
        <v>533</v>
      </c>
      <c r="D62" s="1" t="s">
        <v>534</v>
      </c>
      <c r="E62" s="0" t="n">
        <v>1</v>
      </c>
      <c r="F62" s="0" t="s">
        <v>38</v>
      </c>
      <c r="G62" s="0" t="s">
        <v>535</v>
      </c>
      <c r="H62" s="0" t="s">
        <v>536</v>
      </c>
      <c r="I62" s="0" t="s">
        <v>537</v>
      </c>
      <c r="J62" s="0" t="s">
        <v>365</v>
      </c>
      <c r="K62" s="0" t="s">
        <v>538</v>
      </c>
      <c r="L62" s="0" t="s">
        <v>44</v>
      </c>
      <c r="M62" s="0" t="s">
        <v>45</v>
      </c>
      <c r="N62" s="0" t="s">
        <v>336</v>
      </c>
      <c r="O62" s="0" t="s">
        <v>44</v>
      </c>
      <c r="P62" s="11" t="s">
        <v>539</v>
      </c>
      <c r="Q62" s="3" t="s">
        <v>177</v>
      </c>
      <c r="R62" s="3" t="s">
        <v>540</v>
      </c>
      <c r="S62" s="4"/>
      <c r="T62" s="5"/>
      <c r="U62" s="4"/>
      <c r="V62" s="5"/>
      <c r="W62" s="5"/>
      <c r="X62" s="4"/>
      <c r="Y62" s="5"/>
      <c r="Z62" s="3" t="s">
        <v>540</v>
      </c>
      <c r="AA62" s="3" t="s">
        <v>540</v>
      </c>
      <c r="AB62" s="6" t="n">
        <v>0</v>
      </c>
      <c r="AC62" s="7"/>
      <c r="AD62" s="3"/>
      <c r="AE62" s="5" t="s">
        <v>49</v>
      </c>
      <c r="AF62" s="5" t="s">
        <v>541</v>
      </c>
      <c r="AG62" s="8" t="s">
        <v>535</v>
      </c>
      <c r="AH62" s="9" t="n">
        <f aca="false">IF(OR(J62="",J62="-"),"",LEN(J62)-LEN(SUBSTITUTE(J62,",",""))+1)</f>
        <v>1</v>
      </c>
      <c r="AI62" s="5" t="s">
        <v>52</v>
      </c>
    </row>
    <row r="63" customFormat="false" ht="16" hidden="false" customHeight="false" outlineLevel="0" collapsed="false">
      <c r="A63" s="0" t="n">
        <v>62</v>
      </c>
      <c r="B63" s="0" t="s">
        <v>542</v>
      </c>
      <c r="C63" s="0" t="s">
        <v>543</v>
      </c>
      <c r="D63" s="13" t="n">
        <v>46085</v>
      </c>
      <c r="E63" s="0" t="n">
        <v>1</v>
      </c>
      <c r="F63" s="0" t="s">
        <v>544</v>
      </c>
      <c r="G63" s="0" t="s">
        <v>44</v>
      </c>
      <c r="H63" s="0" t="s">
        <v>467</v>
      </c>
      <c r="I63" s="0" t="s">
        <v>545</v>
      </c>
      <c r="J63" s="0" t="s">
        <v>469</v>
      </c>
      <c r="K63" s="0" t="s">
        <v>546</v>
      </c>
      <c r="L63" s="0" t="s">
        <v>44</v>
      </c>
      <c r="M63" s="0" t="s">
        <v>45</v>
      </c>
      <c r="N63" s="0" t="s">
        <v>547</v>
      </c>
      <c r="O63" s="0" t="s">
        <v>548</v>
      </c>
      <c r="P63" s="0" t="s">
        <v>549</v>
      </c>
      <c r="Q63" s="3"/>
      <c r="R63" s="3"/>
      <c r="S63" s="4"/>
      <c r="T63" s="5"/>
      <c r="U63" s="4"/>
      <c r="V63" s="5"/>
      <c r="W63" s="5"/>
      <c r="X63" s="4"/>
      <c r="Y63" s="5"/>
      <c r="Z63" s="3"/>
      <c r="AA63" s="3"/>
      <c r="AB63" s="6"/>
      <c r="AC63" s="7"/>
      <c r="AD63" s="3"/>
      <c r="AE63" s="5"/>
      <c r="AF63" s="5"/>
      <c r="AG63" s="8"/>
      <c r="AH63" s="9" t="n">
        <f aca="false">IF(OR(J63="",J63="-"),"",LEN(J63)-LEN(SUBSTITUTE(J63,",",""))+1)</f>
        <v>3</v>
      </c>
      <c r="AI63" s="5"/>
    </row>
    <row r="64" customFormat="false" ht="16" hidden="false" customHeight="false" outlineLevel="0" collapsed="false">
      <c r="A64" s="0" t="n">
        <v>63</v>
      </c>
      <c r="B64" s="0" t="s">
        <v>550</v>
      </c>
      <c r="C64" s="0" t="s">
        <v>533</v>
      </c>
      <c r="D64" s="13" t="n">
        <v>46116</v>
      </c>
      <c r="E64" s="0" t="n">
        <v>1</v>
      </c>
      <c r="F64" s="0" t="s">
        <v>38</v>
      </c>
      <c r="G64" s="0" t="s">
        <v>44</v>
      </c>
      <c r="H64" s="0" t="s">
        <v>536</v>
      </c>
      <c r="I64" s="0" t="s">
        <v>551</v>
      </c>
      <c r="J64" s="0" t="s">
        <v>365</v>
      </c>
      <c r="K64" s="0" t="s">
        <v>552</v>
      </c>
      <c r="L64" s="0" t="s">
        <v>44</v>
      </c>
      <c r="M64" s="0" t="s">
        <v>45</v>
      </c>
      <c r="N64" s="0" t="s">
        <v>416</v>
      </c>
      <c r="O64" s="0" t="s">
        <v>553</v>
      </c>
      <c r="P64" s="0" t="s">
        <v>554</v>
      </c>
      <c r="Q64" s="3"/>
      <c r="R64" s="3"/>
      <c r="S64" s="4"/>
      <c r="T64" s="5"/>
      <c r="U64" s="4"/>
      <c r="V64" s="5"/>
      <c r="W64" s="5"/>
      <c r="X64" s="4"/>
      <c r="Y64" s="5"/>
      <c r="Z64" s="3"/>
      <c r="AA64" s="3"/>
      <c r="AB64" s="6"/>
      <c r="AC64" s="7"/>
      <c r="AD64" s="3"/>
      <c r="AE64" s="5"/>
      <c r="AF64" s="5"/>
      <c r="AG64" s="8"/>
      <c r="AH64" s="9" t="n">
        <f aca="false">IF(OR(J64="",J64="-"),"",LEN(J64)-LEN(SUBSTITUTE(J64,",",""))+1)</f>
        <v>1</v>
      </c>
      <c r="AI64" s="5"/>
    </row>
    <row r="65" customFormat="false" ht="16" hidden="false" customHeight="false" outlineLevel="0" collapsed="false">
      <c r="A65" s="0" t="n">
        <v>64</v>
      </c>
      <c r="B65" s="0" t="s">
        <v>555</v>
      </c>
      <c r="C65" s="0" t="s">
        <v>556</v>
      </c>
      <c r="D65" s="13" t="n">
        <v>46270</v>
      </c>
      <c r="E65" s="0" t="n">
        <v>1</v>
      </c>
      <c r="F65" s="0" t="s">
        <v>38</v>
      </c>
      <c r="G65" s="0" t="s">
        <v>44</v>
      </c>
      <c r="H65" s="0" t="s">
        <v>536</v>
      </c>
      <c r="I65" s="0" t="s">
        <v>557</v>
      </c>
      <c r="J65" s="0" t="s">
        <v>558</v>
      </c>
      <c r="K65" s="0" t="s">
        <v>559</v>
      </c>
      <c r="L65" s="0" t="s">
        <v>44</v>
      </c>
      <c r="M65" s="0" t="s">
        <v>45</v>
      </c>
      <c r="N65" s="0" t="s">
        <v>69</v>
      </c>
      <c r="O65" s="0" t="s">
        <v>560</v>
      </c>
      <c r="P65" s="0" t="s">
        <v>561</v>
      </c>
      <c r="Q65" s="3"/>
      <c r="R65" s="3"/>
      <c r="S65" s="4"/>
      <c r="T65" s="5"/>
      <c r="U65" s="4"/>
      <c r="V65" s="5"/>
      <c r="W65" s="5"/>
      <c r="X65" s="4"/>
      <c r="Y65" s="5"/>
      <c r="Z65" s="3"/>
      <c r="AA65" s="3"/>
      <c r="AB65" s="6"/>
      <c r="AC65" s="7"/>
      <c r="AD65" s="3"/>
      <c r="AE65" s="5"/>
      <c r="AF65" s="5"/>
      <c r="AG65" s="8"/>
      <c r="AH65" s="9" t="n">
        <f aca="false">IF(OR(J65="",J65="-"),"",LEN(J65)-LEN(SUBSTITUTE(J65,",",""))+1)</f>
        <v>4</v>
      </c>
      <c r="AI65" s="5"/>
    </row>
    <row r="66" customFormat="false" ht="16" hidden="false" customHeight="false" outlineLevel="0" collapsed="false">
      <c r="A66" s="0" t="n">
        <v>65</v>
      </c>
      <c r="B66" s="0" t="s">
        <v>562</v>
      </c>
      <c r="C66" s="0" t="s">
        <v>563</v>
      </c>
      <c r="D66" s="1" t="s">
        <v>564</v>
      </c>
      <c r="E66" s="0" t="n">
        <v>1</v>
      </c>
      <c r="F66" s="0" t="s">
        <v>38</v>
      </c>
      <c r="G66" s="0" t="s">
        <v>44</v>
      </c>
      <c r="H66" s="0" t="s">
        <v>436</v>
      </c>
      <c r="I66" s="0" t="s">
        <v>565</v>
      </c>
      <c r="J66" s="0" t="s">
        <v>365</v>
      </c>
      <c r="K66" s="0" t="s">
        <v>566</v>
      </c>
      <c r="L66" s="0" t="s">
        <v>44</v>
      </c>
      <c r="M66" s="0" t="s">
        <v>45</v>
      </c>
      <c r="N66" s="0" t="s">
        <v>567</v>
      </c>
      <c r="O66" s="0" t="s">
        <v>568</v>
      </c>
      <c r="P66" s="0" t="s">
        <v>569</v>
      </c>
      <c r="Q66" s="3"/>
      <c r="R66" s="3"/>
      <c r="S66" s="4"/>
      <c r="T66" s="5"/>
      <c r="U66" s="4"/>
      <c r="V66" s="5"/>
      <c r="W66" s="5"/>
      <c r="X66" s="4"/>
      <c r="Y66" s="5"/>
      <c r="Z66" s="3"/>
      <c r="AA66" s="3"/>
      <c r="AB66" s="6"/>
      <c r="AC66" s="7"/>
      <c r="AD66" s="3"/>
      <c r="AE66" s="5"/>
      <c r="AF66" s="5"/>
      <c r="AG66" s="8"/>
      <c r="AH66" s="9" t="n">
        <f aca="false">IF(OR(J66="",J66="-"),"",LEN(J66)-LEN(SUBSTITUTE(J66,",",""))+1)</f>
        <v>1</v>
      </c>
      <c r="AI66" s="5"/>
    </row>
    <row r="67" customFormat="false" ht="25.35" hidden="false" customHeight="false" outlineLevel="0" collapsed="false">
      <c r="A67" s="0" t="n">
        <v>66</v>
      </c>
      <c r="B67" s="0" t="s">
        <v>570</v>
      </c>
      <c r="C67" s="0" t="s">
        <v>571</v>
      </c>
      <c r="D67" s="1" t="s">
        <v>572</v>
      </c>
      <c r="E67" s="0" t="n">
        <v>1</v>
      </c>
      <c r="F67" s="0" t="s">
        <v>56</v>
      </c>
      <c r="G67" s="0" t="s">
        <v>573</v>
      </c>
      <c r="H67" s="0" t="s">
        <v>467</v>
      </c>
      <c r="I67" s="0" t="s">
        <v>478</v>
      </c>
      <c r="J67" s="0" t="s">
        <v>574</v>
      </c>
      <c r="K67" s="0" t="s">
        <v>575</v>
      </c>
      <c r="L67" s="0" t="s">
        <v>44</v>
      </c>
      <c r="M67" s="0" t="s">
        <v>45</v>
      </c>
      <c r="N67" s="0" t="s">
        <v>416</v>
      </c>
      <c r="O67" s="0" t="s">
        <v>44</v>
      </c>
      <c r="P67" s="0" t="s">
        <v>44</v>
      </c>
      <c r="Q67" s="3" t="s">
        <v>576</v>
      </c>
      <c r="R67" s="3"/>
      <c r="S67" s="4"/>
      <c r="T67" s="5"/>
      <c r="U67" s="4" t="n">
        <v>12000</v>
      </c>
      <c r="V67" s="5" t="s">
        <v>83</v>
      </c>
      <c r="W67" s="5"/>
      <c r="X67" s="4"/>
      <c r="Y67" s="5"/>
      <c r="Z67" s="3" t="s">
        <v>577</v>
      </c>
      <c r="AA67" s="3"/>
      <c r="AB67" s="6"/>
      <c r="AC67" s="7"/>
      <c r="AD67" s="3"/>
      <c r="AE67" s="5" t="s">
        <v>49</v>
      </c>
      <c r="AF67" s="5" t="s">
        <v>578</v>
      </c>
      <c r="AG67" s="8" t="s">
        <v>579</v>
      </c>
      <c r="AH67" s="9" t="n">
        <f aca="false">IF(OR(J67="",J67="-"),"",LEN(J67)-LEN(SUBSTITUTE(J67,",",""))+1)</f>
        <v>2</v>
      </c>
      <c r="AI67" s="5" t="s">
        <v>52</v>
      </c>
    </row>
    <row r="68" customFormat="false" ht="16" hidden="false" customHeight="false" outlineLevel="0" collapsed="false">
      <c r="A68" s="0" t="n">
        <v>67</v>
      </c>
      <c r="B68" s="0" t="s">
        <v>580</v>
      </c>
      <c r="C68" s="0" t="s">
        <v>312</v>
      </c>
      <c r="D68" s="1" t="s">
        <v>581</v>
      </c>
      <c r="E68" s="0" t="n">
        <v>3</v>
      </c>
      <c r="F68" s="0" t="s">
        <v>38</v>
      </c>
      <c r="G68" s="0" t="s">
        <v>44</v>
      </c>
      <c r="H68" s="0" t="s">
        <v>582</v>
      </c>
      <c r="I68" s="0" t="s">
        <v>583</v>
      </c>
      <c r="J68" s="0" t="s">
        <v>584</v>
      </c>
      <c r="K68" s="0" t="s">
        <v>585</v>
      </c>
      <c r="L68" s="0" t="s">
        <v>586</v>
      </c>
      <c r="M68" s="0" t="s">
        <v>45</v>
      </c>
      <c r="N68" s="0" t="s">
        <v>319</v>
      </c>
      <c r="O68" s="0" t="s">
        <v>587</v>
      </c>
      <c r="P68" s="0" t="s">
        <v>44</v>
      </c>
      <c r="Q68" s="3"/>
      <c r="R68" s="3"/>
      <c r="S68" s="4"/>
      <c r="T68" s="5"/>
      <c r="U68" s="4"/>
      <c r="V68" s="5"/>
      <c r="W68" s="5"/>
      <c r="X68" s="4"/>
      <c r="Y68" s="5"/>
      <c r="Z68" s="3"/>
      <c r="AA68" s="3"/>
      <c r="AB68" s="6"/>
      <c r="AC68" s="7"/>
      <c r="AD68" s="3"/>
      <c r="AE68" s="5"/>
      <c r="AF68" s="5"/>
      <c r="AG68" s="8"/>
      <c r="AH68" s="9" t="n">
        <f aca="false">IF(OR(J68="",J68="-"),"",LEN(J68)-LEN(SUBSTITUTE(J68,",",""))+1)</f>
        <v>3</v>
      </c>
      <c r="AI68" s="5"/>
    </row>
    <row r="69" customFormat="false" ht="16" hidden="false" customHeight="false" outlineLevel="0" collapsed="false">
      <c r="A69" s="0" t="n">
        <v>68</v>
      </c>
      <c r="B69" s="0" t="s">
        <v>588</v>
      </c>
      <c r="C69" s="0" t="s">
        <v>571</v>
      </c>
      <c r="D69" s="1" t="s">
        <v>589</v>
      </c>
      <c r="E69" s="0" t="n">
        <v>1</v>
      </c>
      <c r="F69" s="0" t="s">
        <v>38</v>
      </c>
      <c r="G69" s="0" t="s">
        <v>44</v>
      </c>
      <c r="H69" s="0" t="s">
        <v>467</v>
      </c>
      <c r="I69" s="0" t="s">
        <v>478</v>
      </c>
      <c r="J69" s="0" t="s">
        <v>574</v>
      </c>
      <c r="K69" s="0" t="s">
        <v>590</v>
      </c>
      <c r="L69" s="0" t="s">
        <v>44</v>
      </c>
      <c r="M69" s="0" t="s">
        <v>45</v>
      </c>
      <c r="N69" s="0" t="s">
        <v>591</v>
      </c>
      <c r="O69" s="0" t="s">
        <v>44</v>
      </c>
      <c r="P69" s="0" t="s">
        <v>592</v>
      </c>
      <c r="Q69" s="3"/>
      <c r="R69" s="3"/>
      <c r="S69" s="4"/>
      <c r="T69" s="5"/>
      <c r="U69" s="4"/>
      <c r="V69" s="5"/>
      <c r="W69" s="5"/>
      <c r="X69" s="4"/>
      <c r="Y69" s="5"/>
      <c r="Z69" s="3"/>
      <c r="AA69" s="3"/>
      <c r="AB69" s="6"/>
      <c r="AC69" s="7"/>
      <c r="AD69" s="3"/>
      <c r="AE69" s="5"/>
      <c r="AF69" s="5"/>
      <c r="AG69" s="8"/>
      <c r="AH69" s="9" t="n">
        <f aca="false">IF(OR(J69="",J69="-"),"",LEN(J69)-LEN(SUBSTITUTE(J69,",",""))+1)</f>
        <v>2</v>
      </c>
      <c r="AI69" s="5"/>
    </row>
    <row r="70" customFormat="false" ht="16" hidden="false" customHeight="false" outlineLevel="0" collapsed="false">
      <c r="A70" s="0" t="n">
        <v>69</v>
      </c>
      <c r="B70" s="0" t="s">
        <v>593</v>
      </c>
      <c r="C70" s="0" t="s">
        <v>594</v>
      </c>
      <c r="D70" s="1" t="s">
        <v>595</v>
      </c>
      <c r="E70" s="0" t="n">
        <v>2</v>
      </c>
      <c r="F70" s="0" t="s">
        <v>38</v>
      </c>
      <c r="H70" s="0" t="s">
        <v>596</v>
      </c>
      <c r="I70" s="0" t="s">
        <v>597</v>
      </c>
      <c r="J70" s="0" t="s">
        <v>598</v>
      </c>
      <c r="K70" s="0" t="s">
        <v>599</v>
      </c>
      <c r="L70" s="0" t="s">
        <v>594</v>
      </c>
      <c r="M70" s="0" t="s">
        <v>600</v>
      </c>
      <c r="N70" s="0" t="s">
        <v>416</v>
      </c>
      <c r="O70" s="0" t="s">
        <v>601</v>
      </c>
      <c r="P70" s="0" t="s">
        <v>602</v>
      </c>
      <c r="Q70" s="3"/>
      <c r="R70" s="3"/>
      <c r="S70" s="4"/>
      <c r="T70" s="5"/>
      <c r="U70" s="4"/>
      <c r="V70" s="5"/>
      <c r="W70" s="5"/>
      <c r="X70" s="4"/>
      <c r="Y70" s="5"/>
      <c r="Z70" s="3"/>
      <c r="AA70" s="3"/>
      <c r="AB70" s="6"/>
      <c r="AC70" s="7"/>
      <c r="AD70" s="3"/>
      <c r="AE70" s="5"/>
      <c r="AF70" s="5"/>
      <c r="AG70" s="8"/>
      <c r="AH70" s="9" t="n">
        <f aca="false">IF(OR(J70="",J70="-"),"",LEN(J70)-LEN(SUBSTITUTE(J70,",",""))+1)</f>
        <v>4</v>
      </c>
      <c r="AI70" s="5"/>
    </row>
    <row r="71" customFormat="false" ht="16" hidden="false" customHeight="false" outlineLevel="0" collapsed="false">
      <c r="A71" s="0" t="n">
        <v>70</v>
      </c>
      <c r="B71" s="0" t="s">
        <v>603</v>
      </c>
      <c r="C71" s="0" t="s">
        <v>604</v>
      </c>
      <c r="D71" s="13" t="s">
        <v>605</v>
      </c>
      <c r="E71" s="0" t="n">
        <v>1</v>
      </c>
      <c r="F71" s="0" t="s">
        <v>38</v>
      </c>
      <c r="G71" s="0" t="s">
        <v>44</v>
      </c>
      <c r="H71" s="0" t="s">
        <v>596</v>
      </c>
      <c r="I71" s="0" t="s">
        <v>606</v>
      </c>
      <c r="J71" s="0" t="s">
        <v>365</v>
      </c>
      <c r="K71" s="0" t="s">
        <v>607</v>
      </c>
      <c r="L71" s="0" t="s">
        <v>604</v>
      </c>
      <c r="M71" s="0" t="s">
        <v>45</v>
      </c>
      <c r="N71" s="0" t="s">
        <v>567</v>
      </c>
      <c r="O71" s="0" t="s">
        <v>608</v>
      </c>
      <c r="P71" s="0" t="s">
        <v>609</v>
      </c>
      <c r="Q71" s="3"/>
      <c r="R71" s="3"/>
      <c r="S71" s="4"/>
      <c r="T71" s="5"/>
      <c r="U71" s="4"/>
      <c r="V71" s="5"/>
      <c r="W71" s="5"/>
      <c r="X71" s="4"/>
      <c r="Y71" s="5"/>
      <c r="Z71" s="3"/>
      <c r="AA71" s="3"/>
      <c r="AB71" s="6"/>
      <c r="AC71" s="7"/>
      <c r="AD71" s="3"/>
      <c r="AE71" s="5"/>
      <c r="AF71" s="5"/>
      <c r="AG71" s="8"/>
      <c r="AH71" s="9" t="n">
        <f aca="false">IF(OR(J71="",J71="-"),"",LEN(J71)-LEN(SUBSTITUTE(J71,",",""))+1)</f>
        <v>1</v>
      </c>
      <c r="AI71" s="5"/>
    </row>
    <row r="72" customFormat="false" ht="16" hidden="false" customHeight="false" outlineLevel="0" collapsed="false">
      <c r="A72" s="0" t="n">
        <v>71</v>
      </c>
      <c r="B72" s="0" t="s">
        <v>610</v>
      </c>
      <c r="C72" s="0" t="s">
        <v>611</v>
      </c>
      <c r="D72" s="13" t="n">
        <v>46363</v>
      </c>
      <c r="E72" s="0" t="n">
        <v>1</v>
      </c>
      <c r="F72" s="0" t="s">
        <v>38</v>
      </c>
      <c r="G72" s="0" t="s">
        <v>612</v>
      </c>
      <c r="H72" s="0" t="s">
        <v>282</v>
      </c>
      <c r="I72" s="0" t="s">
        <v>613</v>
      </c>
      <c r="J72" s="0" t="s">
        <v>614</v>
      </c>
      <c r="K72" s="0" t="s">
        <v>615</v>
      </c>
      <c r="L72" s="0" t="s">
        <v>611</v>
      </c>
      <c r="M72" s="0" t="s">
        <v>45</v>
      </c>
      <c r="N72" s="0" t="s">
        <v>60</v>
      </c>
      <c r="O72" s="0" t="s">
        <v>44</v>
      </c>
      <c r="P72" s="0" t="s">
        <v>616</v>
      </c>
      <c r="Q72" s="3" t="s">
        <v>617</v>
      </c>
      <c r="R72" s="3"/>
      <c r="S72" s="4"/>
      <c r="T72" s="5"/>
      <c r="U72" s="4" t="n">
        <v>4500</v>
      </c>
      <c r="V72" s="5" t="s">
        <v>83</v>
      </c>
      <c r="W72" s="5"/>
      <c r="X72" s="4"/>
      <c r="Y72" s="5"/>
      <c r="Z72" s="3" t="s">
        <v>618</v>
      </c>
      <c r="AA72" s="3"/>
      <c r="AB72" s="6"/>
      <c r="AC72" s="7"/>
      <c r="AD72" s="3"/>
      <c r="AE72" s="5" t="s">
        <v>49</v>
      </c>
      <c r="AF72" s="5" t="s">
        <v>530</v>
      </c>
      <c r="AG72" s="8" t="s">
        <v>612</v>
      </c>
      <c r="AH72" s="9" t="n">
        <f aca="false">IF(OR(J72="",J72="-"),"",LEN(J72)-LEN(SUBSTITUTE(J72,",",""))+1)</f>
        <v>2</v>
      </c>
      <c r="AI72" s="5" t="s">
        <v>52</v>
      </c>
    </row>
    <row r="73" customFormat="false" ht="16" hidden="false" customHeight="false" outlineLevel="0" collapsed="false">
      <c r="A73" s="0" t="n">
        <v>72</v>
      </c>
      <c r="B73" s="0" t="s">
        <v>619</v>
      </c>
      <c r="C73" s="0" t="s">
        <v>620</v>
      </c>
      <c r="D73" s="1" t="s">
        <v>621</v>
      </c>
      <c r="E73" s="0" t="n">
        <v>1</v>
      </c>
      <c r="F73" s="0" t="s">
        <v>38</v>
      </c>
      <c r="G73" s="0" t="s">
        <v>44</v>
      </c>
      <c r="H73" s="0" t="s">
        <v>536</v>
      </c>
      <c r="I73" s="0" t="s">
        <v>622</v>
      </c>
      <c r="J73" s="0" t="s">
        <v>365</v>
      </c>
      <c r="K73" s="0" t="s">
        <v>623</v>
      </c>
      <c r="L73" s="0" t="s">
        <v>620</v>
      </c>
      <c r="M73" s="0" t="s">
        <v>45</v>
      </c>
      <c r="N73" s="0" t="s">
        <v>624</v>
      </c>
      <c r="O73" s="0" t="s">
        <v>625</v>
      </c>
      <c r="P73" s="0" t="s">
        <v>626</v>
      </c>
      <c r="Q73" s="3"/>
      <c r="R73" s="3"/>
      <c r="S73" s="4"/>
      <c r="T73" s="5"/>
      <c r="U73" s="4"/>
      <c r="V73" s="5"/>
      <c r="W73" s="5"/>
      <c r="X73" s="4"/>
      <c r="Y73" s="5"/>
      <c r="Z73" s="3"/>
      <c r="AA73" s="3"/>
      <c r="AB73" s="6"/>
      <c r="AC73" s="7"/>
      <c r="AD73" s="3"/>
      <c r="AE73" s="5"/>
      <c r="AF73" s="5"/>
      <c r="AG73" s="8"/>
      <c r="AH73" s="9" t="n">
        <f aca="false">IF(OR(J73="",J73="-"),"",LEN(J73)-LEN(SUBSTITUTE(J73,",",""))+1)</f>
        <v>1</v>
      </c>
      <c r="AI73" s="5"/>
    </row>
    <row r="74" customFormat="false" ht="16" hidden="false" customHeight="false" outlineLevel="0" collapsed="false">
      <c r="A74" s="0" t="n">
        <v>73</v>
      </c>
      <c r="B74" s="0" t="s">
        <v>627</v>
      </c>
      <c r="C74" s="0" t="s">
        <v>594</v>
      </c>
      <c r="D74" s="1" t="s">
        <v>628</v>
      </c>
      <c r="E74" s="0" t="n">
        <v>10</v>
      </c>
      <c r="F74" s="0" t="s">
        <v>38</v>
      </c>
      <c r="G74" s="0" t="s">
        <v>44</v>
      </c>
      <c r="H74" s="0" t="s">
        <v>629</v>
      </c>
      <c r="I74" s="0" t="s">
        <v>630</v>
      </c>
      <c r="J74" s="0" t="s">
        <v>365</v>
      </c>
      <c r="K74" s="0" t="s">
        <v>631</v>
      </c>
      <c r="L74" s="0" t="s">
        <v>594</v>
      </c>
      <c r="M74" s="0" t="s">
        <v>600</v>
      </c>
      <c r="N74" s="0" t="s">
        <v>416</v>
      </c>
      <c r="O74" s="0" t="s">
        <v>632</v>
      </c>
      <c r="P74" s="0" t="s">
        <v>602</v>
      </c>
      <c r="Q74" s="3"/>
      <c r="R74" s="3"/>
      <c r="S74" s="4"/>
      <c r="T74" s="5"/>
      <c r="U74" s="4"/>
      <c r="V74" s="5"/>
      <c r="W74" s="5"/>
      <c r="X74" s="4"/>
      <c r="Y74" s="5"/>
      <c r="Z74" s="3"/>
      <c r="AA74" s="3"/>
      <c r="AB74" s="6"/>
      <c r="AC74" s="7"/>
      <c r="AD74" s="3"/>
      <c r="AE74" s="5"/>
      <c r="AF74" s="5"/>
      <c r="AG74" s="8"/>
      <c r="AH74" s="9" t="n">
        <f aca="false">IF(OR(J74="",J74="-"),"",LEN(J74)-LEN(SUBSTITUTE(J74,",",""))+1)</f>
        <v>1</v>
      </c>
      <c r="AI74" s="5"/>
    </row>
    <row r="75" customFormat="false" ht="25.35" hidden="false" customHeight="false" outlineLevel="0" collapsed="false">
      <c r="A75" s="0" t="n">
        <v>74</v>
      </c>
      <c r="B75" s="15" t="s">
        <v>633</v>
      </c>
      <c r="C75" s="15" t="s">
        <v>634</v>
      </c>
      <c r="D75" s="13" t="n">
        <v>46150</v>
      </c>
      <c r="E75" s="0" t="n">
        <v>1</v>
      </c>
      <c r="F75" s="15" t="s">
        <v>38</v>
      </c>
      <c r="G75" s="15" t="s">
        <v>44</v>
      </c>
      <c r="H75" s="15" t="s">
        <v>634</v>
      </c>
      <c r="I75" s="14" t="s">
        <v>635</v>
      </c>
      <c r="J75" s="15" t="s">
        <v>365</v>
      </c>
      <c r="K75" s="15" t="s">
        <v>636</v>
      </c>
      <c r="L75" s="15" t="s">
        <v>634</v>
      </c>
      <c r="M75" s="15" t="s">
        <v>45</v>
      </c>
      <c r="N75" s="15" t="s">
        <v>319</v>
      </c>
      <c r="O75" s="0" t="s">
        <v>637</v>
      </c>
      <c r="P75" s="15" t="s">
        <v>44</v>
      </c>
      <c r="Q75" s="3"/>
      <c r="R75" s="3"/>
      <c r="S75" s="4"/>
      <c r="T75" s="5"/>
      <c r="U75" s="4"/>
      <c r="V75" s="5"/>
      <c r="W75" s="5"/>
      <c r="X75" s="4"/>
      <c r="Y75" s="5"/>
      <c r="Z75" s="3"/>
      <c r="AA75" s="3"/>
      <c r="AB75" s="6"/>
      <c r="AC75" s="7"/>
      <c r="AD75" s="3"/>
      <c r="AE75" s="5"/>
      <c r="AF75" s="5"/>
      <c r="AG75" s="8"/>
      <c r="AH75" s="9" t="n">
        <f aca="false">IF(OR(J75="",J75="-"),"",LEN(J75)-LEN(SUBSTITUTE(J75,",",""))+1)</f>
        <v>1</v>
      </c>
      <c r="AI75" s="5"/>
    </row>
    <row r="76" customFormat="false" ht="25.35" hidden="false" customHeight="false" outlineLevel="0" collapsed="false">
      <c r="A76" s="0" t="n">
        <v>75</v>
      </c>
      <c r="B76" s="15" t="s">
        <v>638</v>
      </c>
      <c r="C76" s="15" t="s">
        <v>639</v>
      </c>
      <c r="D76" s="16" t="s">
        <v>640</v>
      </c>
      <c r="E76" s="0" t="n">
        <v>1</v>
      </c>
      <c r="F76" s="15" t="s">
        <v>38</v>
      </c>
      <c r="G76" s="15" t="s">
        <v>641</v>
      </c>
      <c r="H76" s="15" t="s">
        <v>642</v>
      </c>
      <c r="I76" s="15" t="s">
        <v>643</v>
      </c>
      <c r="J76" s="15" t="s">
        <v>644</v>
      </c>
      <c r="K76" s="15" t="s">
        <v>645</v>
      </c>
      <c r="L76" s="15" t="s">
        <v>639</v>
      </c>
      <c r="M76" s="15" t="s">
        <v>45</v>
      </c>
      <c r="N76" s="15" t="s">
        <v>646</v>
      </c>
      <c r="O76" s="11" t="s">
        <v>647</v>
      </c>
      <c r="P76" s="0" t="s">
        <v>648</v>
      </c>
      <c r="Q76" s="3" t="s">
        <v>70</v>
      </c>
      <c r="R76" s="3" t="s">
        <v>649</v>
      </c>
      <c r="S76" s="4"/>
      <c r="T76" s="5"/>
      <c r="U76" s="4" t="n">
        <v>25</v>
      </c>
      <c r="V76" s="5" t="s">
        <v>83</v>
      </c>
      <c r="W76" s="5"/>
      <c r="X76" s="4"/>
      <c r="Y76" s="5"/>
      <c r="Z76" s="3" t="s">
        <v>650</v>
      </c>
      <c r="AA76" s="3"/>
      <c r="AB76" s="6"/>
      <c r="AC76" s="7"/>
      <c r="AD76" s="3"/>
      <c r="AE76" s="5" t="s">
        <v>49</v>
      </c>
      <c r="AF76" s="5" t="s">
        <v>651</v>
      </c>
      <c r="AG76" s="8" t="s">
        <v>652</v>
      </c>
      <c r="AH76" s="9" t="n">
        <f aca="false">IF(OR(J76="",J76="-"),"",LEN(J76)-LEN(SUBSTITUTE(J76,",",""))+1)</f>
        <v>2</v>
      </c>
      <c r="AI76" s="5" t="s">
        <v>155</v>
      </c>
    </row>
    <row r="77" customFormat="false" ht="16" hidden="false" customHeight="false" outlineLevel="0" collapsed="false">
      <c r="A77" s="0" t="n">
        <v>76</v>
      </c>
      <c r="B77" s="0" t="s">
        <v>653</v>
      </c>
      <c r="C77" s="0" t="s">
        <v>654</v>
      </c>
      <c r="D77" s="1" t="s">
        <v>655</v>
      </c>
      <c r="E77" s="0" t="n">
        <v>1</v>
      </c>
      <c r="F77" s="0" t="s">
        <v>38</v>
      </c>
      <c r="G77" s="0" t="s">
        <v>44</v>
      </c>
      <c r="H77" s="0" t="s">
        <v>656</v>
      </c>
      <c r="I77" s="0" t="s">
        <v>657</v>
      </c>
      <c r="J77" s="0" t="s">
        <v>365</v>
      </c>
      <c r="K77" s="0" t="s">
        <v>658</v>
      </c>
      <c r="L77" s="0" t="s">
        <v>659</v>
      </c>
      <c r="M77" s="0" t="s">
        <v>45</v>
      </c>
      <c r="N77" s="0" t="s">
        <v>660</v>
      </c>
      <c r="O77" s="0" t="s">
        <v>661</v>
      </c>
      <c r="P77" s="0" t="s">
        <v>662</v>
      </c>
      <c r="Q77" s="3"/>
      <c r="R77" s="3"/>
      <c r="S77" s="4"/>
      <c r="T77" s="5"/>
      <c r="U77" s="4"/>
      <c r="V77" s="5"/>
      <c r="W77" s="5"/>
      <c r="X77" s="4"/>
      <c r="Y77" s="5"/>
      <c r="Z77" s="3"/>
      <c r="AA77" s="3"/>
      <c r="AB77" s="6"/>
      <c r="AC77" s="7"/>
      <c r="AD77" s="3"/>
      <c r="AE77" s="5"/>
      <c r="AF77" s="5"/>
      <c r="AG77" s="8"/>
      <c r="AH77" s="9" t="n">
        <f aca="false">IF(OR(J77="",J77="-"),"",LEN(J77)-LEN(SUBSTITUTE(J77,",",""))+1)</f>
        <v>1</v>
      </c>
      <c r="AI77" s="5"/>
    </row>
    <row r="78" customFormat="false" ht="16" hidden="false" customHeight="false" outlineLevel="0" collapsed="false">
      <c r="A78" s="0" t="n">
        <v>77</v>
      </c>
      <c r="B78" s="0" t="s">
        <v>663</v>
      </c>
      <c r="C78" s="0" t="s">
        <v>594</v>
      </c>
      <c r="D78" s="1" t="s">
        <v>664</v>
      </c>
      <c r="E78" s="0" t="n">
        <v>1</v>
      </c>
      <c r="F78" s="0" t="s">
        <v>56</v>
      </c>
      <c r="G78" s="0" t="s">
        <v>44</v>
      </c>
      <c r="H78" s="0" t="s">
        <v>665</v>
      </c>
      <c r="I78" s="0" t="s">
        <v>666</v>
      </c>
      <c r="J78" s="0" t="s">
        <v>365</v>
      </c>
      <c r="K78" s="0" t="s">
        <v>667</v>
      </c>
      <c r="L78" s="0" t="s">
        <v>594</v>
      </c>
      <c r="M78" s="0" t="s">
        <v>600</v>
      </c>
      <c r="N78" s="0" t="s">
        <v>416</v>
      </c>
      <c r="O78" s="0" t="s">
        <v>668</v>
      </c>
      <c r="P78" s="0" t="s">
        <v>602</v>
      </c>
      <c r="Q78" s="3"/>
      <c r="R78" s="3"/>
      <c r="S78" s="4"/>
      <c r="T78" s="5"/>
      <c r="U78" s="4"/>
      <c r="V78" s="5"/>
      <c r="W78" s="5"/>
      <c r="X78" s="4"/>
      <c r="Y78" s="5"/>
      <c r="Z78" s="3"/>
      <c r="AA78" s="3"/>
      <c r="AB78" s="6"/>
      <c r="AC78" s="7"/>
      <c r="AD78" s="3"/>
      <c r="AE78" s="5"/>
      <c r="AF78" s="5"/>
      <c r="AG78" s="8"/>
      <c r="AH78" s="9" t="n">
        <f aca="false">IF(OR(J78="",J78="-"),"",LEN(J78)-LEN(SUBSTITUTE(J78,",",""))+1)</f>
        <v>1</v>
      </c>
      <c r="AI78" s="5"/>
    </row>
    <row r="79" customFormat="false" ht="16" hidden="false" customHeight="false" outlineLevel="0" collapsed="false">
      <c r="A79" s="0" t="n">
        <v>78</v>
      </c>
      <c r="B79" s="0" t="s">
        <v>669</v>
      </c>
      <c r="C79" s="0" t="s">
        <v>670</v>
      </c>
      <c r="D79" s="1" t="s">
        <v>671</v>
      </c>
      <c r="E79" s="0" t="n">
        <v>4</v>
      </c>
      <c r="F79" s="0" t="s">
        <v>544</v>
      </c>
      <c r="G79" s="0" t="s">
        <v>44</v>
      </c>
      <c r="H79" s="0" t="s">
        <v>672</v>
      </c>
      <c r="I79" s="0" t="s">
        <v>673</v>
      </c>
      <c r="J79" s="0" t="s">
        <v>674</v>
      </c>
      <c r="K79" s="0" t="s">
        <v>675</v>
      </c>
      <c r="L79" s="0" t="s">
        <v>676</v>
      </c>
      <c r="M79" s="0" t="s">
        <v>45</v>
      </c>
      <c r="N79" s="0" t="s">
        <v>45</v>
      </c>
      <c r="O79" s="0" t="s">
        <v>677</v>
      </c>
      <c r="P79" s="0" t="s">
        <v>678</v>
      </c>
      <c r="Q79" s="3"/>
      <c r="R79" s="3"/>
      <c r="S79" s="4"/>
      <c r="T79" s="5"/>
      <c r="U79" s="4"/>
      <c r="V79" s="5"/>
      <c r="W79" s="5"/>
      <c r="X79" s="4"/>
      <c r="Y79" s="5"/>
      <c r="Z79" s="3"/>
      <c r="AA79" s="3"/>
      <c r="AB79" s="6"/>
      <c r="AC79" s="7"/>
      <c r="AD79" s="3"/>
      <c r="AE79" s="5"/>
      <c r="AF79" s="5"/>
      <c r="AG79" s="8"/>
      <c r="AH79" s="9" t="n">
        <f aca="false">IF(OR(J79="",J79="-"),"",LEN(J79)-LEN(SUBSTITUTE(J79,",",""))+1)</f>
        <v>2</v>
      </c>
      <c r="AI79" s="5"/>
    </row>
    <row r="80" customFormat="false" ht="25.35" hidden="false" customHeight="false" outlineLevel="0" collapsed="false">
      <c r="A80" s="0" t="n">
        <v>79</v>
      </c>
      <c r="B80" s="0" t="s">
        <v>679</v>
      </c>
      <c r="C80" s="0" t="s">
        <v>680</v>
      </c>
      <c r="D80" s="1" t="s">
        <v>681</v>
      </c>
      <c r="E80" s="0" t="n">
        <v>2</v>
      </c>
      <c r="F80" s="0" t="s">
        <v>38</v>
      </c>
      <c r="G80" s="0" t="s">
        <v>682</v>
      </c>
      <c r="H80" s="0" t="s">
        <v>683</v>
      </c>
      <c r="I80" s="0" t="s">
        <v>684</v>
      </c>
      <c r="J80" s="0" t="s">
        <v>685</v>
      </c>
      <c r="K80" s="0" t="s">
        <v>686</v>
      </c>
      <c r="L80" s="0" t="s">
        <v>687</v>
      </c>
      <c r="M80" s="0" t="s">
        <v>688</v>
      </c>
      <c r="N80" s="0" t="s">
        <v>689</v>
      </c>
      <c r="O80" s="0" t="s">
        <v>690</v>
      </c>
      <c r="P80" s="0" t="s">
        <v>691</v>
      </c>
      <c r="Q80" s="3" t="s">
        <v>692</v>
      </c>
      <c r="R80" s="3" t="s">
        <v>693</v>
      </c>
      <c r="S80" s="4"/>
      <c r="T80" s="5"/>
      <c r="U80" s="4" t="n">
        <v>200</v>
      </c>
      <c r="V80" s="5" t="s">
        <v>83</v>
      </c>
      <c r="W80" s="5"/>
      <c r="X80" s="4"/>
      <c r="Y80" s="5"/>
      <c r="Z80" s="3" t="s">
        <v>694</v>
      </c>
      <c r="AA80" s="3" t="s">
        <v>359</v>
      </c>
      <c r="AB80" s="6" t="n">
        <v>1</v>
      </c>
      <c r="AC80" s="7"/>
      <c r="AD80" s="3"/>
      <c r="AE80" s="5" t="s">
        <v>49</v>
      </c>
      <c r="AF80" s="5" t="s">
        <v>695</v>
      </c>
      <c r="AG80" s="8" t="s">
        <v>696</v>
      </c>
      <c r="AH80" s="9" t="n">
        <f aca="false">IF(OR(J80="",J80="-"),"",LEN(J80)-LEN(SUBSTITUTE(J80,",",""))+1)</f>
        <v>3</v>
      </c>
      <c r="AI80" s="5" t="s">
        <v>52</v>
      </c>
    </row>
    <row r="81" customFormat="false" ht="25.35" hidden="false" customHeight="false" outlineLevel="0" collapsed="false">
      <c r="A81" s="0" t="n">
        <v>80</v>
      </c>
      <c r="B81" s="0" t="s">
        <v>697</v>
      </c>
      <c r="C81" s="0" t="s">
        <v>698</v>
      </c>
      <c r="D81" s="1" t="s">
        <v>699</v>
      </c>
      <c r="E81" s="0" t="n">
        <v>1</v>
      </c>
      <c r="F81" s="0" t="s">
        <v>38</v>
      </c>
      <c r="G81" s="0" t="s">
        <v>700</v>
      </c>
      <c r="H81" s="0" t="s">
        <v>436</v>
      </c>
      <c r="I81" s="0" t="s">
        <v>701</v>
      </c>
      <c r="J81" s="0" t="s">
        <v>702</v>
      </c>
      <c r="K81" s="0" t="s">
        <v>703</v>
      </c>
      <c r="L81" s="0" t="s">
        <v>676</v>
      </c>
      <c r="M81" s="0" t="s">
        <v>45</v>
      </c>
      <c r="N81" s="0" t="s">
        <v>45</v>
      </c>
      <c r="O81" s="0" t="s">
        <v>704</v>
      </c>
      <c r="P81" s="0" t="s">
        <v>705</v>
      </c>
      <c r="Q81" s="3" t="s">
        <v>70</v>
      </c>
      <c r="R81" s="3" t="s">
        <v>706</v>
      </c>
      <c r="S81" s="4"/>
      <c r="T81" s="5"/>
      <c r="U81" s="4" t="n">
        <v>5000</v>
      </c>
      <c r="V81" s="5" t="s">
        <v>83</v>
      </c>
      <c r="W81" s="5"/>
      <c r="X81" s="4"/>
      <c r="Y81" s="5"/>
      <c r="Z81" s="3" t="s">
        <v>707</v>
      </c>
      <c r="AA81" s="3"/>
      <c r="AB81" s="6"/>
      <c r="AC81" s="7"/>
      <c r="AD81" s="3"/>
      <c r="AE81" s="5" t="s">
        <v>49</v>
      </c>
      <c r="AF81" s="5" t="s">
        <v>708</v>
      </c>
      <c r="AG81" s="8" t="s">
        <v>709</v>
      </c>
      <c r="AH81" s="9" t="n">
        <f aca="false">IF(OR(J81="",J81="-"),"",LEN(J81)-LEN(SUBSTITUTE(J81,",",""))+1)</f>
        <v>2</v>
      </c>
      <c r="AI81" s="5" t="s">
        <v>155</v>
      </c>
    </row>
    <row r="82" customFormat="false" ht="16" hidden="false" customHeight="false" outlineLevel="0" collapsed="false">
      <c r="A82" s="0" t="n">
        <v>81</v>
      </c>
      <c r="B82" s="0" t="s">
        <v>710</v>
      </c>
      <c r="C82" s="0" t="s">
        <v>711</v>
      </c>
      <c r="D82" s="1" t="s">
        <v>712</v>
      </c>
      <c r="E82" s="0" t="n">
        <v>1</v>
      </c>
      <c r="F82" s="0" t="s">
        <v>38</v>
      </c>
      <c r="H82" s="0" t="s">
        <v>713</v>
      </c>
      <c r="I82" s="0" t="s">
        <v>714</v>
      </c>
      <c r="J82" s="0" t="s">
        <v>365</v>
      </c>
      <c r="K82" s="0" t="s">
        <v>715</v>
      </c>
      <c r="L82" s="0" t="s">
        <v>716</v>
      </c>
      <c r="M82" s="0" t="s">
        <v>45</v>
      </c>
      <c r="N82" s="0" t="s">
        <v>717</v>
      </c>
      <c r="O82" s="0" t="s">
        <v>718</v>
      </c>
      <c r="P82" s="0" t="s">
        <v>719</v>
      </c>
      <c r="Q82" s="3"/>
      <c r="R82" s="3"/>
      <c r="S82" s="4"/>
      <c r="T82" s="5"/>
      <c r="U82" s="4"/>
      <c r="V82" s="5"/>
      <c r="W82" s="5"/>
      <c r="X82" s="4"/>
      <c r="Y82" s="5"/>
      <c r="Z82" s="3"/>
      <c r="AA82" s="3"/>
      <c r="AB82" s="6"/>
      <c r="AC82" s="7"/>
      <c r="AD82" s="3"/>
      <c r="AE82" s="5"/>
      <c r="AF82" s="5"/>
      <c r="AG82" s="8"/>
      <c r="AH82" s="9" t="n">
        <f aca="false">IF(OR(J82="",J82="-"),"",LEN(J82)-LEN(SUBSTITUTE(J82,",",""))+1)</f>
        <v>1</v>
      </c>
      <c r="AI82" s="5"/>
    </row>
  </sheetData>
  <hyperlinks>
    <hyperlink ref="O37" r:id="rId1" display="http://github.com/cheonglol/superai-next-hackathon-2025"/>
    <hyperlink ref="P61" r:id="rId2" display="https://luma.com/tgbspeechmatics1?tk=NaV6RE"/>
    <hyperlink ref="P62" r:id="rId3" display="https://luma.com/bh5iqhnx?tk=17u8ZH"/>
    <hyperlink ref="O76" r:id="rId4" display="https://github.com/gigradarapp/gr-atla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1484375" defaultRowHeight="16" customHeight="false" zeroHeight="false" outlineLevelRow="0" outlineLevelCol="0"/>
  <cols>
    <col collapsed="false" customWidth="true" hidden="false" outlineLevel="0" max="1" min="1" style="0" width="12.09"/>
    <col collapsed="false" customWidth="true" hidden="false" outlineLevel="0" max="2" min="2" style="0" width="26.38"/>
    <col collapsed="false" customWidth="true" hidden="false" outlineLevel="0" max="3" min="3" style="0" width="46.16"/>
    <col collapsed="false" customWidth="true" hidden="false" outlineLevel="0" max="4" min="4" style="0" width="15.39"/>
    <col collapsed="false" customWidth="true" hidden="false" outlineLevel="0" max="5" min="5" style="0" width="52.76"/>
    <col collapsed="false" customWidth="true" hidden="false" outlineLevel="0" max="7" min="6" style="0" width="26.38"/>
    <col collapsed="false" customWidth="true" hidden="false" outlineLevel="0" max="8" min="8" style="0" width="21.98"/>
    <col collapsed="false" customWidth="true" hidden="false" outlineLevel="0" max="9" min="9" style="0" width="39.57"/>
    <col collapsed="false" customWidth="true" hidden="false" outlineLevel="0" max="10" min="10" style="0" width="15.39"/>
  </cols>
  <sheetData>
    <row r="1" customFormat="false" ht="38" hidden="false" customHeight="true" outlineLevel="0" collapsed="false">
      <c r="A1" s="17" t="s">
        <v>720</v>
      </c>
      <c r="B1" s="17"/>
      <c r="C1" s="17"/>
      <c r="D1" s="17"/>
      <c r="E1" s="17"/>
    </row>
    <row r="2" customFormat="false" ht="34" hidden="false" customHeight="true" outlineLevel="0" collapsed="false">
      <c r="A2" s="18" t="s">
        <v>721</v>
      </c>
      <c r="B2" s="18"/>
      <c r="C2" s="18"/>
      <c r="D2" s="18"/>
      <c r="E2" s="18"/>
    </row>
    <row r="4" customFormat="false" ht="30" hidden="false" customHeight="true" outlineLevel="0" collapsed="false">
      <c r="A4" s="19" t="s">
        <v>722</v>
      </c>
      <c r="B4" s="19" t="s">
        <v>723</v>
      </c>
      <c r="C4" s="19" t="s">
        <v>724</v>
      </c>
      <c r="D4" s="19" t="s">
        <v>725</v>
      </c>
      <c r="E4" s="19" t="s">
        <v>726</v>
      </c>
    </row>
    <row r="5" customFormat="false" ht="28" hidden="false" customHeight="true" outlineLevel="0" collapsed="false">
      <c r="A5" s="20" t="s">
        <v>727</v>
      </c>
      <c r="B5" s="21" t="s">
        <v>728</v>
      </c>
      <c r="C5" s="21" t="s">
        <v>729</v>
      </c>
      <c r="D5" s="22" t="n">
        <v>2</v>
      </c>
      <c r="E5" s="23" t="s">
        <v>730</v>
      </c>
    </row>
    <row r="6" customFormat="false" ht="28" hidden="false" customHeight="true" outlineLevel="0" collapsed="false">
      <c r="A6" s="20" t="s">
        <v>731</v>
      </c>
      <c r="B6" s="21" t="s">
        <v>732</v>
      </c>
      <c r="C6" s="21" t="s">
        <v>733</v>
      </c>
      <c r="D6" s="22" t="n">
        <v>1</v>
      </c>
      <c r="E6" s="23" t="s">
        <v>734</v>
      </c>
    </row>
    <row r="7" customFormat="false" ht="28" hidden="false" customHeight="true" outlineLevel="0" collapsed="false">
      <c r="A7" s="20" t="s">
        <v>735</v>
      </c>
      <c r="B7" s="21" t="s">
        <v>736</v>
      </c>
      <c r="C7" s="21" t="s">
        <v>737</v>
      </c>
      <c r="D7" s="22" t="n">
        <v>1</v>
      </c>
      <c r="E7" s="23"/>
    </row>
    <row r="8" customFormat="false" ht="28" hidden="false" customHeight="true" outlineLevel="0" collapsed="false">
      <c r="A8" s="20" t="s">
        <v>738</v>
      </c>
      <c r="B8" s="21" t="s">
        <v>739</v>
      </c>
      <c r="C8" s="21" t="s">
        <v>740</v>
      </c>
      <c r="D8" s="22" t="n">
        <v>1</v>
      </c>
      <c r="E8" s="23" t="s">
        <v>741</v>
      </c>
    </row>
    <row r="9" customFormat="false" ht="28" hidden="false" customHeight="true" outlineLevel="0" collapsed="false">
      <c r="A9" s="20" t="s">
        <v>742</v>
      </c>
      <c r="B9" s="21" t="s">
        <v>743</v>
      </c>
      <c r="C9" s="21" t="s">
        <v>733</v>
      </c>
      <c r="D9" s="22" t="n">
        <v>1</v>
      </c>
      <c r="E9" s="23" t="s">
        <v>744</v>
      </c>
    </row>
    <row r="10" customFormat="false" ht="28" hidden="false" customHeight="true" outlineLevel="0" collapsed="false">
      <c r="A10" s="20" t="s">
        <v>745</v>
      </c>
      <c r="B10" s="21" t="s">
        <v>746</v>
      </c>
      <c r="C10" s="21" t="s">
        <v>747</v>
      </c>
      <c r="D10" s="22" t="n">
        <v>1</v>
      </c>
      <c r="E10" s="23"/>
    </row>
    <row r="11" customFormat="false" ht="28" hidden="false" customHeight="true" outlineLevel="0" collapsed="false">
      <c r="A11" s="20" t="s">
        <v>748</v>
      </c>
      <c r="B11" s="21" t="s">
        <v>749</v>
      </c>
      <c r="C11" s="21" t="s">
        <v>750</v>
      </c>
      <c r="D11" s="22" t="n">
        <v>1</v>
      </c>
      <c r="E11" s="23" t="s">
        <v>751</v>
      </c>
    </row>
    <row r="12" customFormat="false" ht="28" hidden="false" customHeight="true" outlineLevel="0" collapsed="false">
      <c r="A12" s="20" t="s">
        <v>752</v>
      </c>
      <c r="B12" s="21" t="s">
        <v>753</v>
      </c>
      <c r="C12" s="21" t="s">
        <v>754</v>
      </c>
      <c r="D12" s="22" t="n">
        <v>1</v>
      </c>
      <c r="E12" s="23" t="s">
        <v>755</v>
      </c>
    </row>
    <row r="13" customFormat="false" ht="28" hidden="false" customHeight="true" outlineLevel="0" collapsed="false">
      <c r="A13" s="20" t="s">
        <v>756</v>
      </c>
      <c r="B13" s="21" t="s">
        <v>757</v>
      </c>
      <c r="C13" s="21" t="s">
        <v>758</v>
      </c>
      <c r="D13" s="22" t="n">
        <v>1</v>
      </c>
      <c r="E13" s="23"/>
    </row>
    <row r="14" customFormat="false" ht="28" hidden="false" customHeight="true" outlineLevel="0" collapsed="false">
      <c r="A14" s="20" t="s">
        <v>759</v>
      </c>
      <c r="B14" s="21" t="s">
        <v>760</v>
      </c>
      <c r="C14" s="21" t="s">
        <v>758</v>
      </c>
      <c r="D14" s="22" t="n">
        <v>1</v>
      </c>
      <c r="E14" s="23" t="s">
        <v>761</v>
      </c>
    </row>
    <row r="15" customFormat="false" ht="28" hidden="false" customHeight="true" outlineLevel="0" collapsed="false">
      <c r="A15" s="20" t="s">
        <v>762</v>
      </c>
      <c r="B15" s="21" t="s">
        <v>763</v>
      </c>
      <c r="C15" s="21" t="s">
        <v>764</v>
      </c>
      <c r="D15" s="22" t="n">
        <v>1</v>
      </c>
      <c r="E15" s="23"/>
    </row>
    <row r="16" customFormat="false" ht="28" hidden="false" customHeight="true" outlineLevel="0" collapsed="false">
      <c r="A16" s="20" t="s">
        <v>765</v>
      </c>
      <c r="B16" s="21" t="s">
        <v>766</v>
      </c>
      <c r="C16" s="21" t="s">
        <v>767</v>
      </c>
      <c r="D16" s="22" t="n">
        <v>1</v>
      </c>
      <c r="E16" s="23" t="s">
        <v>768</v>
      </c>
    </row>
    <row r="17" customFormat="false" ht="28" hidden="false" customHeight="true" outlineLevel="0" collapsed="false">
      <c r="A17" s="20" t="s">
        <v>769</v>
      </c>
      <c r="B17" s="21" t="s">
        <v>770</v>
      </c>
      <c r="C17" s="21" t="s">
        <v>771</v>
      </c>
      <c r="D17" s="22" t="n">
        <v>1</v>
      </c>
      <c r="E17" s="23"/>
    </row>
    <row r="18" customFormat="false" ht="28" hidden="false" customHeight="true" outlineLevel="0" collapsed="false">
      <c r="A18" s="20" t="s">
        <v>772</v>
      </c>
      <c r="B18" s="21" t="s">
        <v>773</v>
      </c>
      <c r="C18" s="21" t="s">
        <v>774</v>
      </c>
      <c r="D18" s="22" t="n">
        <v>1</v>
      </c>
      <c r="E18" s="23" t="s">
        <v>775</v>
      </c>
    </row>
    <row r="19" customFormat="false" ht="28" hidden="false" customHeight="true" outlineLevel="0" collapsed="false">
      <c r="A19" s="20" t="s">
        <v>776</v>
      </c>
      <c r="B19" s="21" t="s">
        <v>777</v>
      </c>
      <c r="C19" s="21" t="s">
        <v>778</v>
      </c>
      <c r="D19" s="22" t="n">
        <v>2</v>
      </c>
      <c r="E19" s="23" t="s">
        <v>779</v>
      </c>
    </row>
    <row r="20" customFormat="false" ht="28" hidden="false" customHeight="true" outlineLevel="0" collapsed="false">
      <c r="A20" s="20" t="s">
        <v>780</v>
      </c>
      <c r="B20" s="21" t="s">
        <v>781</v>
      </c>
      <c r="C20" s="21" t="s">
        <v>782</v>
      </c>
      <c r="D20" s="22" t="n">
        <v>1</v>
      </c>
      <c r="E20" s="23"/>
    </row>
    <row r="21" customFormat="false" ht="28" hidden="false" customHeight="true" outlineLevel="0" collapsed="false">
      <c r="A21" s="20" t="s">
        <v>783</v>
      </c>
      <c r="B21" s="21" t="s">
        <v>784</v>
      </c>
      <c r="C21" s="21" t="s">
        <v>785</v>
      </c>
      <c r="D21" s="22" t="n">
        <v>3</v>
      </c>
      <c r="E21" s="23" t="s">
        <v>786</v>
      </c>
    </row>
    <row r="22" customFormat="false" ht="28" hidden="false" customHeight="true" outlineLevel="0" collapsed="false">
      <c r="A22" s="20" t="s">
        <v>787</v>
      </c>
      <c r="B22" s="21" t="s">
        <v>788</v>
      </c>
      <c r="C22" s="21" t="s">
        <v>789</v>
      </c>
      <c r="D22" s="22" t="n">
        <v>1</v>
      </c>
      <c r="E22" s="23"/>
    </row>
    <row r="23" customFormat="false" ht="28" hidden="false" customHeight="true" outlineLevel="0" collapsed="false">
      <c r="A23" s="20" t="s">
        <v>790</v>
      </c>
      <c r="B23" s="21" t="s">
        <v>791</v>
      </c>
      <c r="C23" s="21" t="s">
        <v>792</v>
      </c>
      <c r="D23" s="22" t="n">
        <v>1</v>
      </c>
      <c r="E23" s="23"/>
    </row>
    <row r="24" customFormat="false" ht="28" hidden="false" customHeight="true" outlineLevel="0" collapsed="false">
      <c r="A24" s="20" t="s">
        <v>793</v>
      </c>
      <c r="B24" s="21" t="s">
        <v>794</v>
      </c>
      <c r="C24" s="21" t="s">
        <v>795</v>
      </c>
      <c r="D24" s="22" t="n">
        <v>7</v>
      </c>
      <c r="E24" s="23" t="s">
        <v>796</v>
      </c>
    </row>
    <row r="25" customFormat="false" ht="28" hidden="false" customHeight="true" outlineLevel="0" collapsed="false">
      <c r="A25" s="20" t="s">
        <v>797</v>
      </c>
      <c r="B25" s="21" t="s">
        <v>798</v>
      </c>
      <c r="C25" s="21" t="s">
        <v>799</v>
      </c>
      <c r="D25" s="22" t="n">
        <v>3</v>
      </c>
      <c r="E25" s="23" t="s">
        <v>800</v>
      </c>
    </row>
    <row r="26" customFormat="false" ht="28" hidden="false" customHeight="true" outlineLevel="0" collapsed="false">
      <c r="A26" s="20" t="s">
        <v>801</v>
      </c>
      <c r="B26" s="21" t="s">
        <v>802</v>
      </c>
      <c r="C26" s="21" t="s">
        <v>737</v>
      </c>
      <c r="D26" s="22" t="n">
        <v>1</v>
      </c>
      <c r="E26" s="23"/>
    </row>
    <row r="27" customFormat="false" ht="28" hidden="false" customHeight="true" outlineLevel="0" collapsed="false">
      <c r="A27" s="20" t="s">
        <v>803</v>
      </c>
      <c r="B27" s="21" t="s">
        <v>804</v>
      </c>
      <c r="C27" s="21" t="s">
        <v>805</v>
      </c>
      <c r="D27" s="22" t="n">
        <v>1</v>
      </c>
      <c r="E27" s="23"/>
    </row>
    <row r="28" customFormat="false" ht="28" hidden="false" customHeight="true" outlineLevel="0" collapsed="false">
      <c r="A28" s="20" t="s">
        <v>806</v>
      </c>
      <c r="B28" s="21" t="s">
        <v>807</v>
      </c>
      <c r="C28" s="21" t="s">
        <v>808</v>
      </c>
      <c r="D28" s="22" t="n">
        <v>2</v>
      </c>
      <c r="E28" s="23"/>
    </row>
    <row r="29" customFormat="false" ht="28" hidden="false" customHeight="true" outlineLevel="0" collapsed="false">
      <c r="A29" s="20" t="s">
        <v>809</v>
      </c>
      <c r="B29" s="21" t="s">
        <v>810</v>
      </c>
      <c r="C29" s="21" t="s">
        <v>811</v>
      </c>
      <c r="D29" s="22" t="n">
        <v>4</v>
      </c>
      <c r="E29" s="23"/>
    </row>
    <row r="30" customFormat="false" ht="28" hidden="false" customHeight="true" outlineLevel="0" collapsed="false">
      <c r="A30" s="20" t="s">
        <v>812</v>
      </c>
      <c r="B30" s="21" t="s">
        <v>813</v>
      </c>
      <c r="C30" s="21" t="s">
        <v>805</v>
      </c>
      <c r="D30" s="22" t="n">
        <v>1</v>
      </c>
      <c r="E30" s="23"/>
    </row>
    <row r="31" customFormat="false" ht="28" hidden="false" customHeight="true" outlineLevel="0" collapsed="false">
      <c r="A31" s="20" t="s">
        <v>814</v>
      </c>
      <c r="B31" s="21" t="s">
        <v>815</v>
      </c>
      <c r="C31" s="21" t="s">
        <v>750</v>
      </c>
      <c r="D31" s="22" t="n">
        <v>1</v>
      </c>
      <c r="E31" s="23" t="s">
        <v>816</v>
      </c>
    </row>
    <row r="32" customFormat="false" ht="28" hidden="false" customHeight="true" outlineLevel="0" collapsed="false">
      <c r="A32" s="20" t="s">
        <v>817</v>
      </c>
      <c r="B32" s="21" t="s">
        <v>818</v>
      </c>
      <c r="C32" s="21" t="s">
        <v>819</v>
      </c>
      <c r="D32" s="22" t="n">
        <v>1</v>
      </c>
      <c r="E32" s="23" t="s">
        <v>820</v>
      </c>
    </row>
    <row r="33" customFormat="false" ht="28" hidden="false" customHeight="true" outlineLevel="0" collapsed="false">
      <c r="A33" s="20" t="s">
        <v>821</v>
      </c>
      <c r="B33" s="21" t="s">
        <v>822</v>
      </c>
      <c r="C33" s="21" t="s">
        <v>789</v>
      </c>
      <c r="D33" s="22" t="n">
        <v>1</v>
      </c>
      <c r="E33" s="23"/>
    </row>
    <row r="34" customFormat="false" ht="28" hidden="false" customHeight="true" outlineLevel="0" collapsed="false">
      <c r="A34" s="20" t="s">
        <v>823</v>
      </c>
      <c r="B34" s="21" t="s">
        <v>824</v>
      </c>
      <c r="C34" s="21" t="s">
        <v>825</v>
      </c>
      <c r="D34" s="22" t="n">
        <v>1</v>
      </c>
      <c r="E34" s="23"/>
    </row>
    <row r="35" customFormat="false" ht="28" hidden="false" customHeight="true" outlineLevel="0" collapsed="false">
      <c r="A35" s="20" t="s">
        <v>826</v>
      </c>
      <c r="B35" s="21" t="s">
        <v>827</v>
      </c>
      <c r="C35" s="21" t="s">
        <v>828</v>
      </c>
      <c r="D35" s="22" t="n">
        <v>1</v>
      </c>
      <c r="E35" s="23" t="s">
        <v>829</v>
      </c>
    </row>
    <row r="36" customFormat="false" ht="28" hidden="false" customHeight="true" outlineLevel="0" collapsed="false">
      <c r="A36" s="20" t="s">
        <v>830</v>
      </c>
      <c r="B36" s="21" t="s">
        <v>831</v>
      </c>
      <c r="C36" s="21" t="s">
        <v>832</v>
      </c>
      <c r="D36" s="22" t="n">
        <v>1</v>
      </c>
      <c r="E36" s="23" t="s">
        <v>833</v>
      </c>
    </row>
    <row r="37" customFormat="false" ht="28" hidden="false" customHeight="true" outlineLevel="0" collapsed="false">
      <c r="A37" s="20" t="s">
        <v>834</v>
      </c>
      <c r="B37" s="21" t="s">
        <v>835</v>
      </c>
      <c r="C37" s="21" t="s">
        <v>836</v>
      </c>
      <c r="D37" s="22" t="n">
        <v>1</v>
      </c>
      <c r="E37" s="23"/>
    </row>
    <row r="38" customFormat="false" ht="28" hidden="false" customHeight="true" outlineLevel="0" collapsed="false">
      <c r="A38" s="20" t="s">
        <v>837</v>
      </c>
      <c r="B38" s="21" t="s">
        <v>838</v>
      </c>
      <c r="C38" s="21" t="s">
        <v>771</v>
      </c>
      <c r="D38" s="22" t="n">
        <v>1</v>
      </c>
      <c r="E38" s="23"/>
    </row>
    <row r="39" customFormat="false" ht="28" hidden="false" customHeight="true" outlineLevel="0" collapsed="false">
      <c r="A39" s="20" t="s">
        <v>839</v>
      </c>
      <c r="B39" s="21" t="s">
        <v>840</v>
      </c>
      <c r="C39" s="21" t="s">
        <v>841</v>
      </c>
      <c r="D39" s="22" t="n">
        <v>3</v>
      </c>
      <c r="E39" s="23"/>
    </row>
    <row r="40" customFormat="false" ht="28" hidden="false" customHeight="true" outlineLevel="0" collapsed="false">
      <c r="A40" s="20" t="s">
        <v>842</v>
      </c>
      <c r="B40" s="21" t="s">
        <v>843</v>
      </c>
      <c r="C40" s="21" t="s">
        <v>844</v>
      </c>
      <c r="D40" s="22" t="n">
        <v>1</v>
      </c>
      <c r="E40" s="23" t="s">
        <v>845</v>
      </c>
    </row>
    <row r="41" customFormat="false" ht="28" hidden="false" customHeight="true" outlineLevel="0" collapsed="false">
      <c r="A41" s="20" t="s">
        <v>846</v>
      </c>
      <c r="B41" s="21" t="s">
        <v>847</v>
      </c>
      <c r="C41" s="21" t="s">
        <v>844</v>
      </c>
      <c r="D41" s="22" t="n">
        <v>1</v>
      </c>
      <c r="E41" s="23" t="s">
        <v>848</v>
      </c>
    </row>
    <row r="42" customFormat="false" ht="28" hidden="false" customHeight="true" outlineLevel="0" collapsed="false">
      <c r="A42" s="20" t="s">
        <v>849</v>
      </c>
      <c r="B42" s="21" t="s">
        <v>850</v>
      </c>
      <c r="C42" s="21" t="s">
        <v>851</v>
      </c>
      <c r="D42" s="22" t="n">
        <v>1</v>
      </c>
      <c r="E42" s="23"/>
    </row>
    <row r="43" customFormat="false" ht="28" hidden="false" customHeight="true" outlineLevel="0" collapsed="false">
      <c r="A43" s="20" t="s">
        <v>852</v>
      </c>
      <c r="B43" s="21" t="s">
        <v>853</v>
      </c>
      <c r="C43" s="21" t="s">
        <v>854</v>
      </c>
      <c r="D43" s="22" t="n">
        <v>2</v>
      </c>
      <c r="E43" s="23"/>
    </row>
    <row r="44" customFormat="false" ht="28" hidden="false" customHeight="true" outlineLevel="0" collapsed="false">
      <c r="A44" s="20" t="s">
        <v>855</v>
      </c>
      <c r="B44" s="21" t="s">
        <v>856</v>
      </c>
      <c r="C44" s="21" t="s">
        <v>808</v>
      </c>
      <c r="D44" s="22" t="n">
        <v>2</v>
      </c>
      <c r="E44" s="23" t="s">
        <v>857</v>
      </c>
    </row>
    <row r="45" customFormat="false" ht="28" hidden="false" customHeight="true" outlineLevel="0" collapsed="false">
      <c r="A45" s="20" t="s">
        <v>858</v>
      </c>
      <c r="B45" s="21" t="s">
        <v>859</v>
      </c>
      <c r="C45" s="21" t="s">
        <v>860</v>
      </c>
      <c r="D45" s="22" t="n">
        <v>1</v>
      </c>
      <c r="E45" s="23"/>
    </row>
    <row r="46" customFormat="false" ht="28" hidden="false" customHeight="true" outlineLevel="0" collapsed="false">
      <c r="A46" s="20" t="s">
        <v>861</v>
      </c>
      <c r="B46" s="21" t="s">
        <v>862</v>
      </c>
      <c r="C46" s="21" t="s">
        <v>825</v>
      </c>
      <c r="D46" s="22" t="n">
        <v>1</v>
      </c>
      <c r="E46" s="23"/>
    </row>
    <row r="47" customFormat="false" ht="28" hidden="false" customHeight="true" outlineLevel="0" collapsed="false">
      <c r="A47" s="20" t="s">
        <v>863</v>
      </c>
      <c r="B47" s="21" t="s">
        <v>864</v>
      </c>
      <c r="C47" s="21" t="s">
        <v>733</v>
      </c>
      <c r="D47" s="22" t="n">
        <v>1</v>
      </c>
      <c r="E47" s="23" t="s">
        <v>865</v>
      </c>
    </row>
    <row r="48" customFormat="false" ht="28" hidden="false" customHeight="true" outlineLevel="0" collapsed="false">
      <c r="A48" s="20" t="s">
        <v>866</v>
      </c>
      <c r="B48" s="21" t="s">
        <v>867</v>
      </c>
      <c r="C48" s="21" t="s">
        <v>868</v>
      </c>
      <c r="D48" s="22" t="n">
        <v>6</v>
      </c>
      <c r="E48" s="23" t="s">
        <v>869</v>
      </c>
    </row>
    <row r="49" customFormat="false" ht="28" hidden="false" customHeight="true" outlineLevel="0" collapsed="false">
      <c r="A49" s="20" t="s">
        <v>870</v>
      </c>
      <c r="B49" s="21" t="s">
        <v>871</v>
      </c>
      <c r="C49" s="21" t="s">
        <v>872</v>
      </c>
      <c r="D49" s="22" t="n">
        <v>1</v>
      </c>
      <c r="E49" s="23"/>
    </row>
    <row r="50" customFormat="false" ht="28" hidden="false" customHeight="true" outlineLevel="0" collapsed="false">
      <c r="A50" s="20" t="s">
        <v>873</v>
      </c>
      <c r="B50" s="21" t="s">
        <v>874</v>
      </c>
      <c r="C50" s="21" t="s">
        <v>836</v>
      </c>
      <c r="D50" s="22" t="n">
        <v>1</v>
      </c>
      <c r="E50" s="23"/>
    </row>
    <row r="51" customFormat="false" ht="28" hidden="false" customHeight="true" outlineLevel="0" collapsed="false">
      <c r="A51" s="20" t="s">
        <v>875</v>
      </c>
      <c r="B51" s="21" t="s">
        <v>876</v>
      </c>
      <c r="C51" s="21" t="s">
        <v>877</v>
      </c>
      <c r="D51" s="22" t="n">
        <v>2</v>
      </c>
      <c r="E51" s="23" t="s">
        <v>878</v>
      </c>
    </row>
    <row r="52" customFormat="false" ht="28" hidden="false" customHeight="true" outlineLevel="0" collapsed="false">
      <c r="A52" s="20" t="s">
        <v>879</v>
      </c>
      <c r="B52" s="21" t="s">
        <v>880</v>
      </c>
      <c r="C52" s="21" t="s">
        <v>881</v>
      </c>
      <c r="D52" s="22" t="n">
        <v>1</v>
      </c>
      <c r="E52" s="23" t="s">
        <v>882</v>
      </c>
    </row>
    <row r="53" customFormat="false" ht="28" hidden="false" customHeight="true" outlineLevel="0" collapsed="false">
      <c r="A53" s="20" t="s">
        <v>883</v>
      </c>
      <c r="B53" s="21" t="s">
        <v>884</v>
      </c>
      <c r="C53" s="21" t="s">
        <v>885</v>
      </c>
      <c r="D53" s="22" t="n">
        <v>4</v>
      </c>
      <c r="E53" s="23" t="s">
        <v>886</v>
      </c>
    </row>
    <row r="54" customFormat="false" ht="28" hidden="false" customHeight="true" outlineLevel="0" collapsed="false">
      <c r="A54" s="20" t="s">
        <v>887</v>
      </c>
      <c r="B54" s="21" t="s">
        <v>888</v>
      </c>
      <c r="C54" s="21" t="s">
        <v>889</v>
      </c>
      <c r="D54" s="22" t="n">
        <v>1</v>
      </c>
      <c r="E54" s="23"/>
    </row>
    <row r="55" customFormat="false" ht="28" hidden="false" customHeight="true" outlineLevel="0" collapsed="false">
      <c r="A55" s="20" t="s">
        <v>890</v>
      </c>
      <c r="B55" s="21" t="s">
        <v>891</v>
      </c>
      <c r="C55" s="21" t="s">
        <v>892</v>
      </c>
      <c r="D55" s="22" t="n">
        <v>1</v>
      </c>
      <c r="E55" s="23" t="s">
        <v>893</v>
      </c>
    </row>
    <row r="56" customFormat="false" ht="28" hidden="false" customHeight="true" outlineLevel="0" collapsed="false">
      <c r="A56" s="20" t="s">
        <v>894</v>
      </c>
      <c r="B56" s="21" t="s">
        <v>895</v>
      </c>
      <c r="C56" s="21" t="s">
        <v>896</v>
      </c>
      <c r="D56" s="22" t="n">
        <v>1</v>
      </c>
      <c r="E56" s="23" t="s">
        <v>897</v>
      </c>
    </row>
    <row r="57" customFormat="false" ht="28" hidden="false" customHeight="true" outlineLevel="0" collapsed="false">
      <c r="A57" s="20" t="s">
        <v>898</v>
      </c>
      <c r="B57" s="21" t="s">
        <v>899</v>
      </c>
      <c r="C57" s="21" t="s">
        <v>900</v>
      </c>
      <c r="D57" s="22" t="n">
        <v>1</v>
      </c>
      <c r="E57" s="23" t="s">
        <v>901</v>
      </c>
    </row>
    <row r="58" customFormat="false" ht="28" hidden="false" customHeight="true" outlineLevel="0" collapsed="false">
      <c r="A58" s="20" t="s">
        <v>902</v>
      </c>
      <c r="B58" s="21" t="s">
        <v>903</v>
      </c>
      <c r="C58" s="21" t="s">
        <v>904</v>
      </c>
      <c r="D58" s="22" t="n">
        <v>3</v>
      </c>
      <c r="E58" s="23" t="s">
        <v>905</v>
      </c>
    </row>
    <row r="59" customFormat="false" ht="28" hidden="false" customHeight="true" outlineLevel="0" collapsed="false">
      <c r="A59" s="20" t="s">
        <v>906</v>
      </c>
      <c r="B59" s="21" t="s">
        <v>907</v>
      </c>
      <c r="C59" s="21" t="s">
        <v>737</v>
      </c>
      <c r="D59" s="22" t="n">
        <v>1</v>
      </c>
      <c r="E59" s="23"/>
    </row>
    <row r="60" customFormat="false" ht="28" hidden="false" customHeight="true" outlineLevel="0" collapsed="false">
      <c r="A60" s="20" t="s">
        <v>908</v>
      </c>
      <c r="B60" s="21" t="s">
        <v>909</v>
      </c>
      <c r="C60" s="21" t="s">
        <v>774</v>
      </c>
      <c r="D60" s="22" t="n">
        <v>1</v>
      </c>
      <c r="E60" s="23"/>
    </row>
    <row r="61" customFormat="false" ht="28" hidden="false" customHeight="true" outlineLevel="0" collapsed="false">
      <c r="A61" s="20" t="s">
        <v>910</v>
      </c>
      <c r="B61" s="21" t="s">
        <v>911</v>
      </c>
      <c r="C61" s="21" t="s">
        <v>758</v>
      </c>
      <c r="D61" s="22" t="n">
        <v>1</v>
      </c>
      <c r="E61" s="23"/>
    </row>
    <row r="62" customFormat="false" ht="28" hidden="false" customHeight="true" outlineLevel="0" collapsed="false">
      <c r="A62" s="20" t="s">
        <v>912</v>
      </c>
      <c r="B62" s="21" t="s">
        <v>913</v>
      </c>
      <c r="C62" s="21" t="s">
        <v>764</v>
      </c>
      <c r="D62" s="22" t="n">
        <v>1</v>
      </c>
      <c r="E62" s="23" t="s">
        <v>914</v>
      </c>
    </row>
    <row r="63" customFormat="false" ht="28" hidden="false" customHeight="true" outlineLevel="0" collapsed="false">
      <c r="A63" s="20" t="s">
        <v>915</v>
      </c>
      <c r="B63" s="21" t="s">
        <v>916</v>
      </c>
      <c r="C63" s="21" t="s">
        <v>758</v>
      </c>
      <c r="D63" s="22" t="n">
        <v>1</v>
      </c>
      <c r="E63" s="23"/>
    </row>
    <row r="64" customFormat="false" ht="28" hidden="false" customHeight="true" outlineLevel="0" collapsed="false">
      <c r="A64" s="20" t="s">
        <v>917</v>
      </c>
      <c r="B64" s="21" t="s">
        <v>918</v>
      </c>
      <c r="C64" s="21" t="s">
        <v>919</v>
      </c>
      <c r="D64" s="22" t="n">
        <v>1</v>
      </c>
      <c r="E64" s="23"/>
    </row>
    <row r="65" customFormat="false" ht="28" hidden="false" customHeight="true" outlineLevel="0" collapsed="false">
      <c r="A65" s="20" t="s">
        <v>920</v>
      </c>
      <c r="B65" s="21" t="s">
        <v>921</v>
      </c>
      <c r="C65" s="21" t="s">
        <v>922</v>
      </c>
      <c r="D65" s="22" t="n">
        <v>1</v>
      </c>
      <c r="E65" s="23"/>
    </row>
    <row r="66" customFormat="false" ht="28" hidden="false" customHeight="true" outlineLevel="0" collapsed="false">
      <c r="A66" s="20" t="s">
        <v>923</v>
      </c>
      <c r="B66" s="21" t="s">
        <v>924</v>
      </c>
      <c r="C66" s="21" t="s">
        <v>747</v>
      </c>
      <c r="D66" s="22" t="n">
        <v>1</v>
      </c>
      <c r="E66" s="23"/>
    </row>
    <row r="67" customFormat="false" ht="28" hidden="false" customHeight="true" outlineLevel="0" collapsed="false">
      <c r="A67" s="20" t="s">
        <v>925</v>
      </c>
      <c r="B67" s="21" t="s">
        <v>926</v>
      </c>
      <c r="C67" s="21" t="s">
        <v>904</v>
      </c>
      <c r="D67" s="22" t="n">
        <v>3</v>
      </c>
      <c r="E67" s="23" t="s">
        <v>927</v>
      </c>
    </row>
    <row r="68" customFormat="false" ht="28" hidden="false" customHeight="true" outlineLevel="0" collapsed="false">
      <c r="A68" s="20" t="s">
        <v>928</v>
      </c>
      <c r="B68" s="21" t="s">
        <v>929</v>
      </c>
      <c r="C68" s="21" t="s">
        <v>774</v>
      </c>
      <c r="D68" s="22" t="n">
        <v>1</v>
      </c>
      <c r="E68" s="23" t="s">
        <v>930</v>
      </c>
    </row>
    <row r="69" customFormat="false" ht="28" hidden="false" customHeight="true" outlineLevel="0" collapsed="false">
      <c r="A69" s="20" t="s">
        <v>931</v>
      </c>
      <c r="B69" s="21" t="s">
        <v>932</v>
      </c>
      <c r="C69" s="21" t="s">
        <v>754</v>
      </c>
      <c r="D69" s="22" t="n">
        <v>1</v>
      </c>
      <c r="E69" s="23"/>
    </row>
    <row r="70" customFormat="false" ht="28" hidden="false" customHeight="true" outlineLevel="0" collapsed="false">
      <c r="A70" s="20" t="s">
        <v>933</v>
      </c>
      <c r="B70" s="21" t="s">
        <v>934</v>
      </c>
      <c r="C70" s="21" t="s">
        <v>782</v>
      </c>
      <c r="D70" s="22" t="n">
        <v>1</v>
      </c>
      <c r="E70" s="23"/>
    </row>
    <row r="71" customFormat="false" ht="28" hidden="false" customHeight="true" outlineLevel="0" collapsed="false">
      <c r="A71" s="20" t="s">
        <v>935</v>
      </c>
      <c r="B71" s="21" t="s">
        <v>936</v>
      </c>
      <c r="C71" s="21" t="s">
        <v>937</v>
      </c>
      <c r="D71" s="22" t="n">
        <v>1</v>
      </c>
      <c r="E71" s="23"/>
    </row>
    <row r="72" customFormat="false" ht="28" hidden="false" customHeight="true" outlineLevel="0" collapsed="false">
      <c r="A72" s="20" t="s">
        <v>938</v>
      </c>
      <c r="B72" s="21" t="s">
        <v>939</v>
      </c>
      <c r="C72" s="21" t="s">
        <v>940</v>
      </c>
      <c r="D72" s="22" t="n">
        <v>7</v>
      </c>
      <c r="E72" s="23" t="s">
        <v>941</v>
      </c>
    </row>
    <row r="73" customFormat="false" ht="28" hidden="false" customHeight="true" outlineLevel="0" collapsed="false">
      <c r="A73" s="20" t="s">
        <v>942</v>
      </c>
      <c r="B73" s="21" t="s">
        <v>943</v>
      </c>
      <c r="C73" s="21" t="s">
        <v>944</v>
      </c>
      <c r="D73" s="22" t="n">
        <v>1</v>
      </c>
      <c r="E73" s="23" t="s">
        <v>945</v>
      </c>
    </row>
    <row r="74" customFormat="false" ht="28" hidden="false" customHeight="true" outlineLevel="0" collapsed="false">
      <c r="A74" s="20" t="s">
        <v>946</v>
      </c>
      <c r="B74" s="21" t="s">
        <v>947</v>
      </c>
      <c r="C74" s="21" t="s">
        <v>740</v>
      </c>
      <c r="D74" s="22" t="n">
        <v>1</v>
      </c>
      <c r="E74" s="23" t="s">
        <v>948</v>
      </c>
    </row>
    <row r="75" customFormat="false" ht="28" hidden="false" customHeight="true" outlineLevel="0" collapsed="false">
      <c r="A75" s="20" t="s">
        <v>949</v>
      </c>
      <c r="B75" s="21" t="s">
        <v>950</v>
      </c>
      <c r="C75" s="21" t="s">
        <v>860</v>
      </c>
      <c r="D75" s="22" t="n">
        <v>1</v>
      </c>
      <c r="E75" s="23"/>
    </row>
    <row r="76" customFormat="false" ht="28" hidden="false" customHeight="true" outlineLevel="0" collapsed="false">
      <c r="A76" s="20" t="s">
        <v>951</v>
      </c>
      <c r="B76" s="21" t="s">
        <v>952</v>
      </c>
      <c r="C76" s="21" t="s">
        <v>828</v>
      </c>
      <c r="D76" s="22" t="n">
        <v>1</v>
      </c>
      <c r="E76" s="23" t="s">
        <v>953</v>
      </c>
    </row>
    <row r="77" customFormat="false" ht="28" hidden="false" customHeight="true" outlineLevel="0" collapsed="false">
      <c r="A77" s="20" t="s">
        <v>954</v>
      </c>
      <c r="B77" s="21" t="s">
        <v>955</v>
      </c>
      <c r="C77" s="21" t="s">
        <v>937</v>
      </c>
      <c r="D77" s="22" t="n">
        <v>1</v>
      </c>
      <c r="E77" s="23" t="s">
        <v>956</v>
      </c>
    </row>
    <row r="78" customFormat="false" ht="28" hidden="false" customHeight="true" outlineLevel="0" collapsed="false">
      <c r="A78" s="20" t="s">
        <v>957</v>
      </c>
      <c r="B78" s="21" t="s">
        <v>958</v>
      </c>
      <c r="C78" s="21" t="s">
        <v>729</v>
      </c>
      <c r="D78" s="22" t="n">
        <v>2</v>
      </c>
      <c r="E78" s="23" t="s">
        <v>959</v>
      </c>
    </row>
    <row r="79" customFormat="false" ht="28" hidden="false" customHeight="true" outlineLevel="0" collapsed="false">
      <c r="A79" s="20" t="s">
        <v>960</v>
      </c>
      <c r="B79" s="21" t="s">
        <v>961</v>
      </c>
      <c r="C79" s="21" t="s">
        <v>828</v>
      </c>
      <c r="D79" s="22" t="n">
        <v>1</v>
      </c>
      <c r="E79" s="23"/>
    </row>
    <row r="80" customFormat="false" ht="28" hidden="false" customHeight="true" outlineLevel="0" collapsed="false">
      <c r="A80" s="20" t="s">
        <v>962</v>
      </c>
      <c r="B80" s="21" t="s">
        <v>963</v>
      </c>
      <c r="C80" s="21" t="s">
        <v>964</v>
      </c>
      <c r="D80" s="22" t="n">
        <v>1</v>
      </c>
      <c r="E80" s="23" t="s">
        <v>965</v>
      </c>
    </row>
    <row r="81" customFormat="false" ht="28" hidden="false" customHeight="true" outlineLevel="0" collapsed="false">
      <c r="A81" s="20" t="s">
        <v>966</v>
      </c>
      <c r="B81" s="21" t="s">
        <v>214</v>
      </c>
      <c r="C81" s="21" t="s">
        <v>967</v>
      </c>
      <c r="D81" s="22" t="n">
        <v>79</v>
      </c>
      <c r="E81" s="23" t="s">
        <v>968</v>
      </c>
    </row>
    <row r="82" customFormat="false" ht="28" hidden="false" customHeight="true" outlineLevel="0" collapsed="false">
      <c r="A82" s="20" t="s">
        <v>969</v>
      </c>
      <c r="B82" s="21" t="s">
        <v>970</v>
      </c>
      <c r="C82" s="21" t="s">
        <v>971</v>
      </c>
      <c r="D82" s="22" t="n">
        <v>8</v>
      </c>
      <c r="E82" s="23" t="s">
        <v>972</v>
      </c>
    </row>
    <row r="83" customFormat="false" ht="28" hidden="false" customHeight="true" outlineLevel="0" collapsed="false">
      <c r="A83" s="20" t="s">
        <v>973</v>
      </c>
      <c r="B83" s="21" t="s">
        <v>974</v>
      </c>
      <c r="C83" s="21" t="s">
        <v>747</v>
      </c>
      <c r="D83" s="22" t="n">
        <v>1</v>
      </c>
      <c r="E83" s="23"/>
    </row>
    <row r="84" customFormat="false" ht="28" hidden="false" customHeight="true" outlineLevel="0" collapsed="false">
      <c r="A84" s="20" t="s">
        <v>975</v>
      </c>
      <c r="B84" s="21" t="s">
        <v>976</v>
      </c>
      <c r="C84" s="21" t="s">
        <v>977</v>
      </c>
      <c r="D84" s="22" t="n">
        <v>1</v>
      </c>
      <c r="E84" s="23"/>
    </row>
    <row r="85" customFormat="false" ht="28" hidden="false" customHeight="true" outlineLevel="0" collapsed="false">
      <c r="A85" s="20" t="s">
        <v>978</v>
      </c>
      <c r="B85" s="21" t="s">
        <v>979</v>
      </c>
      <c r="C85" s="21" t="s">
        <v>750</v>
      </c>
      <c r="D85" s="22" t="n">
        <v>1</v>
      </c>
      <c r="E85" s="23" t="s">
        <v>980</v>
      </c>
    </row>
    <row r="86" customFormat="false" ht="28" hidden="false" customHeight="true" outlineLevel="0" collapsed="false">
      <c r="A86" s="20" t="s">
        <v>981</v>
      </c>
      <c r="B86" s="21" t="s">
        <v>982</v>
      </c>
      <c r="C86" s="21" t="s">
        <v>983</v>
      </c>
      <c r="D86" s="22" t="n">
        <v>1</v>
      </c>
      <c r="E86" s="23" t="s">
        <v>984</v>
      </c>
    </row>
    <row r="87" customFormat="false" ht="28" hidden="false" customHeight="true" outlineLevel="0" collapsed="false">
      <c r="A87" s="20" t="s">
        <v>985</v>
      </c>
      <c r="B87" s="21" t="s">
        <v>986</v>
      </c>
      <c r="C87" s="21" t="s">
        <v>987</v>
      </c>
      <c r="D87" s="22" t="n">
        <v>1</v>
      </c>
      <c r="E87" s="23" t="s">
        <v>988</v>
      </c>
    </row>
    <row r="88" customFormat="false" ht="28" hidden="false" customHeight="true" outlineLevel="0" collapsed="false">
      <c r="A88" s="20" t="s">
        <v>989</v>
      </c>
      <c r="B88" s="21" t="s">
        <v>990</v>
      </c>
      <c r="C88" s="21" t="s">
        <v>860</v>
      </c>
      <c r="D88" s="22" t="n">
        <v>1</v>
      </c>
      <c r="E88" s="23"/>
    </row>
    <row r="89" customFormat="false" ht="28" hidden="false" customHeight="true" outlineLevel="0" collapsed="false">
      <c r="A89" s="20" t="s">
        <v>991</v>
      </c>
      <c r="B89" s="21" t="s">
        <v>992</v>
      </c>
      <c r="C89" s="21" t="s">
        <v>771</v>
      </c>
      <c r="D89" s="22" t="n">
        <v>1</v>
      </c>
      <c r="E89" s="23"/>
    </row>
    <row r="90" customFormat="false" ht="28" hidden="false" customHeight="true" outlineLevel="0" collapsed="false">
      <c r="A90" s="20" t="s">
        <v>993</v>
      </c>
      <c r="B90" s="21" t="s">
        <v>994</v>
      </c>
      <c r="C90" s="21" t="s">
        <v>904</v>
      </c>
      <c r="D90" s="22" t="n">
        <v>3</v>
      </c>
      <c r="E90" s="23" t="s">
        <v>995</v>
      </c>
    </row>
    <row r="91" customFormat="false" ht="28" hidden="false" customHeight="true" outlineLevel="0" collapsed="false">
      <c r="A91" s="20" t="s">
        <v>996</v>
      </c>
      <c r="B91" s="21" t="s">
        <v>997</v>
      </c>
      <c r="C91" s="21" t="s">
        <v>998</v>
      </c>
      <c r="D91" s="22" t="n">
        <v>1</v>
      </c>
      <c r="E91" s="23"/>
    </row>
    <row r="92" customFormat="false" ht="28" hidden="false" customHeight="true" outlineLevel="0" collapsed="false">
      <c r="A92" s="20" t="s">
        <v>999</v>
      </c>
      <c r="B92" s="21" t="s">
        <v>1000</v>
      </c>
      <c r="C92" s="21" t="s">
        <v>1001</v>
      </c>
      <c r="D92" s="22" t="n">
        <v>3</v>
      </c>
      <c r="E92" s="23" t="s">
        <v>1002</v>
      </c>
    </row>
    <row r="93" customFormat="false" ht="28" hidden="false" customHeight="true" outlineLevel="0" collapsed="false">
      <c r="A93" s="20" t="s">
        <v>1003</v>
      </c>
      <c r="B93" s="21" t="s">
        <v>1004</v>
      </c>
      <c r="C93" s="21" t="s">
        <v>937</v>
      </c>
      <c r="D93" s="22" t="n">
        <v>1</v>
      </c>
      <c r="E93" s="23"/>
    </row>
    <row r="94" customFormat="false" ht="28" hidden="false" customHeight="true" outlineLevel="0" collapsed="false">
      <c r="A94" s="20" t="s">
        <v>1005</v>
      </c>
      <c r="B94" s="21" t="s">
        <v>1006</v>
      </c>
      <c r="C94" s="21" t="s">
        <v>828</v>
      </c>
      <c r="D94" s="22" t="n">
        <v>1</v>
      </c>
      <c r="E94" s="23" t="s">
        <v>1007</v>
      </c>
    </row>
    <row r="95" customFormat="false" ht="28" hidden="false" customHeight="true" outlineLevel="0" collapsed="false">
      <c r="A95" s="20" t="s">
        <v>1008</v>
      </c>
      <c r="B95" s="21" t="s">
        <v>1009</v>
      </c>
      <c r="C95" s="21" t="s">
        <v>825</v>
      </c>
      <c r="D95" s="22" t="n">
        <v>1</v>
      </c>
      <c r="E95" s="23"/>
    </row>
    <row r="96" customFormat="false" ht="28" hidden="false" customHeight="true" outlineLevel="0" collapsed="false">
      <c r="A96" s="20" t="s">
        <v>1010</v>
      </c>
      <c r="B96" s="21" t="s">
        <v>1011</v>
      </c>
      <c r="C96" s="21" t="s">
        <v>1012</v>
      </c>
      <c r="D96" s="22" t="n">
        <v>4</v>
      </c>
      <c r="E96" s="23" t="s">
        <v>1013</v>
      </c>
    </row>
    <row r="97" customFormat="false" ht="28" hidden="false" customHeight="true" outlineLevel="0" collapsed="false">
      <c r="A97" s="20" t="s">
        <v>1014</v>
      </c>
      <c r="B97" s="21" t="s">
        <v>1015</v>
      </c>
      <c r="C97" s="21" t="s">
        <v>977</v>
      </c>
      <c r="D97" s="22" t="n">
        <v>1</v>
      </c>
      <c r="E97" s="23" t="s">
        <v>1016</v>
      </c>
    </row>
    <row r="98" customFormat="false" ht="16" hidden="false" customHeight="false" outlineLevel="0" collapsed="false">
      <c r="A98" s="0" t="s">
        <v>1017</v>
      </c>
      <c r="B98" s="0" t="s">
        <v>1018</v>
      </c>
      <c r="C98" s="0" t="s">
        <v>1019</v>
      </c>
      <c r="D98" s="0" t="n">
        <v>1</v>
      </c>
    </row>
  </sheetData>
  <mergeCells count="2">
    <mergeCell ref="A1:E1"/>
    <mergeCell ref="A2:E2"/>
  </mergeCells>
  <conditionalFormatting sqref="J5:J97">
    <cfRule type="containsText" priority="2" operator="containsText" aboveAverage="0" equalAverage="0" bottom="0" percent="0" rank="0" text="Linked" dxfId="5">
      <formula>NOT(ISERROR(SEARCH("Linked",J5)))</formula>
    </cfRule>
    <cfRule type="containsText" priority="3" operator="containsText" aboveAverage="0" equalAverage="0" bottom="0" percent="0" rank="0" text="Missing" dxfId="6">
      <formula>NOT(ISERROR(SEARCH("Missing",J5)))</formula>
    </cfRule>
  </conditionalFormatting>
  <dataValidations count="1">
    <dataValidation allowBlank="false" errorStyle="stop" operator="between" showDropDown="false" showErrorMessage="false" showInputMessage="false" sqref="E5:E97" type="custom">
      <formula1>OR(E5="",LEFT(E5,8)="https://")</formula1>
      <formula2>0</formula2>
    </dataValidation>
  </dataValidations>
  <hyperlinks>
    <hyperlink ref="E40" r:id="rId1" display="https://www.linkedin.com/in/abdul-hakam-bin-nor-razak-nus/"/>
    <hyperlink ref="E41" r:id="rId2" display="https://www.linkedin.com/in/akmal-hakim-teo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1484375" defaultRowHeight="16" customHeight="false" zeroHeight="false" outlineLevelRow="0" outlineLevelCol="0"/>
  <cols>
    <col collapsed="false" customWidth="true" hidden="false" outlineLevel="0" max="1" min="1" style="0" width="17.59"/>
    <col collapsed="false" customWidth="true" hidden="false" outlineLevel="0" max="4" min="2" style="0" width="61.55"/>
  </cols>
  <sheetData>
    <row r="1" customFormat="false" ht="38" hidden="false" customHeight="true" outlineLevel="0" collapsed="false">
      <c r="A1" s="17" t="s">
        <v>1020</v>
      </c>
      <c r="B1" s="17"/>
      <c r="C1" s="17"/>
      <c r="D1" s="17"/>
    </row>
    <row r="2" customFormat="false" ht="34" hidden="false" customHeight="true" outlineLevel="0" collapsed="false">
      <c r="A2" s="18" t="s">
        <v>1021</v>
      </c>
      <c r="B2" s="18"/>
      <c r="C2" s="18"/>
      <c r="D2" s="18"/>
    </row>
    <row r="3" customFormat="false" ht="16" hidden="false" customHeight="false" outlineLevel="0" collapsed="false">
      <c r="A3" s="0" t="s">
        <v>1022</v>
      </c>
      <c r="B3" s="0" t="s">
        <v>1023</v>
      </c>
      <c r="C3" s="0" t="s">
        <v>1024</v>
      </c>
      <c r="D3" s="0" t="s">
        <v>1025</v>
      </c>
    </row>
    <row r="4" customFormat="false" ht="30" hidden="false" customHeight="true" outlineLevel="0" collapsed="false">
      <c r="A4" s="19" t="s">
        <v>792</v>
      </c>
      <c r="B4" s="19"/>
      <c r="C4" s="19"/>
      <c r="D4" s="19"/>
    </row>
    <row r="5" customFormat="false" ht="28" hidden="false" customHeight="true" outlineLevel="0" collapsed="false">
      <c r="A5" s="20" t="s">
        <v>1026</v>
      </c>
      <c r="B5" s="23"/>
      <c r="C5" s="23"/>
      <c r="D5" s="23"/>
    </row>
    <row r="6" customFormat="false" ht="28" hidden="false" customHeight="true" outlineLevel="0" collapsed="false">
      <c r="A6" s="20" t="s">
        <v>828</v>
      </c>
      <c r="B6" s="23"/>
      <c r="C6" s="23"/>
      <c r="D6" s="23"/>
    </row>
    <row r="7" customFormat="false" ht="28" hidden="false" customHeight="true" outlineLevel="0" collapsed="false">
      <c r="A7" s="20" t="s">
        <v>1027</v>
      </c>
      <c r="B7" s="23"/>
      <c r="C7" s="23"/>
      <c r="D7" s="23"/>
    </row>
    <row r="8" customFormat="false" ht="28" hidden="false" customHeight="true" outlineLevel="0" collapsed="false">
      <c r="A8" s="20" t="s">
        <v>937</v>
      </c>
      <c r="B8" s="23"/>
      <c r="C8" s="23"/>
      <c r="D8" s="23"/>
    </row>
    <row r="9" customFormat="false" ht="28" hidden="false" customHeight="true" outlineLevel="0" collapsed="false">
      <c r="A9" s="20" t="s">
        <v>832</v>
      </c>
      <c r="B9" s="23"/>
      <c r="C9" s="23"/>
      <c r="D9" s="23"/>
    </row>
    <row r="10" customFormat="false" ht="28" hidden="false" customHeight="true" outlineLevel="0" collapsed="false">
      <c r="A10" s="20" t="s">
        <v>747</v>
      </c>
      <c r="B10" s="23"/>
      <c r="C10" s="23"/>
      <c r="D10" s="23"/>
    </row>
    <row r="11" customFormat="false" ht="28" hidden="false" customHeight="true" outlineLevel="0" collapsed="false">
      <c r="A11" s="20" t="s">
        <v>789</v>
      </c>
      <c r="B11" s="23"/>
      <c r="C11" s="23"/>
      <c r="D11" s="23"/>
    </row>
    <row r="12" customFormat="false" ht="28" hidden="false" customHeight="true" outlineLevel="0" collapsed="false">
      <c r="A12" s="20" t="s">
        <v>750</v>
      </c>
      <c r="B12" s="23"/>
      <c r="C12" s="23"/>
      <c r="D12" s="23"/>
    </row>
    <row r="13" customFormat="false" ht="28" hidden="false" customHeight="true" outlineLevel="0" collapsed="false">
      <c r="A13" s="20" t="s">
        <v>836</v>
      </c>
      <c r="B13" s="23"/>
      <c r="C13" s="23"/>
      <c r="D13" s="23"/>
    </row>
    <row r="14" customFormat="false" ht="28" hidden="false" customHeight="true" outlineLevel="0" collapsed="false">
      <c r="A14" s="20" t="s">
        <v>860</v>
      </c>
      <c r="B14" s="23"/>
      <c r="C14" s="23" t="s">
        <v>1028</v>
      </c>
      <c r="D14" s="23"/>
    </row>
    <row r="15" customFormat="false" ht="28" hidden="false" customHeight="true" outlineLevel="0" collapsed="false">
      <c r="A15" s="20" t="s">
        <v>805</v>
      </c>
      <c r="B15" s="23"/>
      <c r="C15" s="23"/>
      <c r="D15" s="23"/>
    </row>
    <row r="16" customFormat="false" ht="28" hidden="false" customHeight="true" outlineLevel="0" collapsed="false">
      <c r="A16" s="20" t="s">
        <v>896</v>
      </c>
      <c r="B16" s="23"/>
      <c r="C16" s="23"/>
      <c r="D16" s="23"/>
    </row>
    <row r="17" customFormat="false" ht="28" hidden="false" customHeight="true" outlineLevel="0" collapsed="false">
      <c r="A17" s="20" t="s">
        <v>872</v>
      </c>
      <c r="B17" s="23"/>
      <c r="C17" s="23" t="s">
        <v>1029</v>
      </c>
      <c r="D17" s="23"/>
    </row>
    <row r="18" customFormat="false" ht="28" hidden="false" customHeight="true" outlineLevel="0" collapsed="false">
      <c r="A18" s="20" t="s">
        <v>987</v>
      </c>
      <c r="B18" s="23"/>
      <c r="C18" s="23" t="s">
        <v>1030</v>
      </c>
      <c r="D18" s="23"/>
    </row>
    <row r="19" customFormat="false" ht="28" hidden="false" customHeight="true" outlineLevel="0" collapsed="false">
      <c r="A19" s="20" t="s">
        <v>998</v>
      </c>
      <c r="B19" s="23"/>
      <c r="C19" s="23"/>
      <c r="D19" s="23"/>
    </row>
    <row r="20" customFormat="false" ht="28" hidden="false" customHeight="true" outlineLevel="0" collapsed="false">
      <c r="A20" s="20" t="s">
        <v>889</v>
      </c>
      <c r="B20" s="23"/>
      <c r="C20" s="23" t="s">
        <v>1031</v>
      </c>
      <c r="D20" s="23"/>
    </row>
    <row r="21" customFormat="false" ht="28" hidden="false" customHeight="true" outlineLevel="0" collapsed="false">
      <c r="A21" s="20" t="s">
        <v>774</v>
      </c>
      <c r="B21" s="23"/>
      <c r="C21" s="23" t="s">
        <v>1032</v>
      </c>
      <c r="D21" s="23"/>
    </row>
    <row r="22" customFormat="false" ht="28" hidden="false" customHeight="true" outlineLevel="0" collapsed="false">
      <c r="A22" s="20" t="s">
        <v>771</v>
      </c>
      <c r="B22" s="23"/>
      <c r="C22" s="23" t="s">
        <v>1033</v>
      </c>
      <c r="D22" s="23"/>
    </row>
    <row r="23" customFormat="false" ht="28" hidden="false" customHeight="true" outlineLevel="0" collapsed="false">
      <c r="A23" s="20" t="s">
        <v>825</v>
      </c>
      <c r="B23" s="23"/>
      <c r="C23" s="23" t="s">
        <v>1034</v>
      </c>
      <c r="D23" s="23"/>
    </row>
    <row r="24" customFormat="false" ht="28" hidden="false" customHeight="true" outlineLevel="0" collapsed="false">
      <c r="A24" s="20" t="s">
        <v>1035</v>
      </c>
      <c r="B24" s="23"/>
      <c r="C24" s="23" t="s">
        <v>1036</v>
      </c>
      <c r="D24" s="23"/>
    </row>
    <row r="25" customFormat="false" ht="28" hidden="false" customHeight="true" outlineLevel="0" collapsed="false">
      <c r="A25" s="20" t="s">
        <v>1037</v>
      </c>
      <c r="B25" s="23"/>
      <c r="C25" s="23"/>
      <c r="D25" s="23"/>
    </row>
    <row r="26" customFormat="false" ht="28" hidden="false" customHeight="true" outlineLevel="0" collapsed="false">
      <c r="A26" s="20" t="s">
        <v>922</v>
      </c>
      <c r="B26" s="23"/>
      <c r="C26" s="23" t="s">
        <v>1038</v>
      </c>
      <c r="D26" s="23"/>
    </row>
    <row r="27" customFormat="false" ht="28" hidden="false" customHeight="true" outlineLevel="0" collapsed="false">
      <c r="A27" s="20" t="s">
        <v>919</v>
      </c>
      <c r="B27" s="23"/>
      <c r="C27" s="23"/>
      <c r="D27" s="23"/>
    </row>
    <row r="28" customFormat="false" ht="28" hidden="false" customHeight="true" outlineLevel="0" collapsed="false">
      <c r="A28" s="20" t="s">
        <v>1039</v>
      </c>
      <c r="B28" s="23"/>
      <c r="C28" s="23" t="s">
        <v>1040</v>
      </c>
      <c r="D28" s="23"/>
    </row>
    <row r="29" customFormat="false" ht="28" hidden="false" customHeight="true" outlineLevel="0" collapsed="false">
      <c r="A29" s="20" t="s">
        <v>758</v>
      </c>
      <c r="B29" s="23"/>
      <c r="C29" s="23"/>
      <c r="D29" s="23" t="s">
        <v>1041</v>
      </c>
    </row>
    <row r="30" customFormat="false" ht="28" hidden="false" customHeight="true" outlineLevel="0" collapsed="false">
      <c r="A30" s="20" t="s">
        <v>764</v>
      </c>
      <c r="B30" s="23"/>
      <c r="C30" s="23"/>
      <c r="D30" s="23" t="s">
        <v>1042</v>
      </c>
    </row>
    <row r="31" customFormat="false" ht="28" hidden="false" customHeight="true" outlineLevel="0" collapsed="false">
      <c r="A31" s="20" t="s">
        <v>944</v>
      </c>
      <c r="B31" s="23"/>
      <c r="C31" s="23" t="s">
        <v>1043</v>
      </c>
      <c r="D31" s="23" t="s">
        <v>1044</v>
      </c>
    </row>
    <row r="32" customFormat="false" ht="28" hidden="false" customHeight="true" outlineLevel="0" collapsed="false">
      <c r="A32" s="20" t="s">
        <v>977</v>
      </c>
      <c r="B32" s="23"/>
      <c r="C32" s="23"/>
      <c r="D32" s="23" t="s">
        <v>1045</v>
      </c>
    </row>
    <row r="33" customFormat="false" ht="28" hidden="false" customHeight="true" outlineLevel="0" collapsed="false">
      <c r="A33" s="20" t="s">
        <v>851</v>
      </c>
      <c r="B33" s="23"/>
      <c r="C33" s="23"/>
      <c r="D33" s="23" t="s">
        <v>1046</v>
      </c>
    </row>
    <row r="34" customFormat="false" ht="28" hidden="false" customHeight="true" outlineLevel="0" collapsed="false">
      <c r="A34" s="20" t="s">
        <v>844</v>
      </c>
      <c r="B34" s="23"/>
      <c r="C34" s="23" t="s">
        <v>1047</v>
      </c>
      <c r="D34" s="23"/>
    </row>
    <row r="35" customFormat="false" ht="28" hidden="false" customHeight="true" outlineLevel="0" collapsed="false">
      <c r="A35" s="20" t="s">
        <v>1048</v>
      </c>
      <c r="B35" s="23"/>
      <c r="C35" s="23" t="s">
        <v>1049</v>
      </c>
      <c r="D35" s="23"/>
    </row>
    <row r="36" customFormat="false" ht="28" hidden="false" customHeight="true" outlineLevel="0" collapsed="false">
      <c r="A36" s="20" t="s">
        <v>900</v>
      </c>
      <c r="B36" s="23"/>
      <c r="C36" s="23" t="s">
        <v>1050</v>
      </c>
      <c r="D36" s="23"/>
    </row>
    <row r="37" customFormat="false" ht="28" hidden="false" customHeight="true" outlineLevel="0" collapsed="false">
      <c r="A37" s="20" t="s">
        <v>754</v>
      </c>
      <c r="B37" s="23"/>
      <c r="C37" s="23" t="s">
        <v>1051</v>
      </c>
      <c r="D37" s="23"/>
    </row>
    <row r="38" customFormat="false" ht="28" hidden="false" customHeight="true" outlineLevel="0" collapsed="false">
      <c r="A38" s="20" t="s">
        <v>733</v>
      </c>
      <c r="B38" s="23"/>
      <c r="C38" s="23" t="s">
        <v>1052</v>
      </c>
      <c r="D38" s="23"/>
    </row>
    <row r="39" customFormat="false" ht="28" hidden="false" customHeight="true" outlineLevel="0" collapsed="false">
      <c r="A39" s="20" t="s">
        <v>1053</v>
      </c>
      <c r="B39" s="23"/>
      <c r="C39" s="23" t="s">
        <v>1054</v>
      </c>
      <c r="D39" s="23"/>
    </row>
    <row r="40" customFormat="false" ht="28" hidden="false" customHeight="true" outlineLevel="0" collapsed="false">
      <c r="A40" s="20" t="s">
        <v>1055</v>
      </c>
      <c r="B40" s="23"/>
      <c r="C40" s="23" t="s">
        <v>1056</v>
      </c>
      <c r="D40" s="23"/>
    </row>
    <row r="41" customFormat="false" ht="28" hidden="false" customHeight="true" outlineLevel="0" collapsed="false">
      <c r="A41" s="20" t="s">
        <v>1057</v>
      </c>
      <c r="B41" s="23"/>
      <c r="C41" s="23"/>
      <c r="D41" s="23"/>
    </row>
    <row r="42" customFormat="false" ht="28" hidden="false" customHeight="true" outlineLevel="0" collapsed="false">
      <c r="A42" s="20" t="s">
        <v>881</v>
      </c>
      <c r="B42" s="23"/>
      <c r="C42" s="23" t="s">
        <v>1058</v>
      </c>
      <c r="D42" s="23"/>
    </row>
    <row r="43" customFormat="false" ht="28" hidden="false" customHeight="true" outlineLevel="0" collapsed="false">
      <c r="A43" s="20" t="s">
        <v>1059</v>
      </c>
      <c r="B43" s="23" t="s">
        <v>1060</v>
      </c>
      <c r="C43" s="23" t="s">
        <v>1061</v>
      </c>
      <c r="D43" s="23"/>
    </row>
    <row r="44" customFormat="false" ht="28" hidden="false" customHeight="true" outlineLevel="0" collapsed="false">
      <c r="A44" s="20" t="s">
        <v>1062</v>
      </c>
      <c r="B44" s="23"/>
      <c r="C44" s="23" t="s">
        <v>1063</v>
      </c>
      <c r="D44" s="23"/>
    </row>
    <row r="45" customFormat="false" ht="28" hidden="false" customHeight="true" outlineLevel="0" collapsed="false">
      <c r="A45" s="20" t="s">
        <v>1064</v>
      </c>
      <c r="B45" s="23"/>
      <c r="C45" s="23" t="s">
        <v>1065</v>
      </c>
      <c r="D45" s="23"/>
    </row>
    <row r="46" customFormat="false" ht="28" hidden="false" customHeight="true" outlineLevel="0" collapsed="false">
      <c r="A46" s="20" t="s">
        <v>1066</v>
      </c>
      <c r="B46" s="23"/>
      <c r="C46" s="23" t="s">
        <v>1067</v>
      </c>
      <c r="D46" s="23"/>
    </row>
    <row r="47" customFormat="false" ht="28" hidden="false" customHeight="true" outlineLevel="0" collapsed="false">
      <c r="A47" s="20" t="s">
        <v>1068</v>
      </c>
      <c r="B47" s="23" t="s">
        <v>1069</v>
      </c>
      <c r="C47" s="23" t="s">
        <v>1070</v>
      </c>
      <c r="D47" s="23"/>
    </row>
    <row r="48" customFormat="false" ht="28" hidden="false" customHeight="true" outlineLevel="0" collapsed="false">
      <c r="A48" s="20" t="s">
        <v>737</v>
      </c>
      <c r="B48" s="23"/>
      <c r="C48" s="23" t="s">
        <v>1071</v>
      </c>
      <c r="D48" s="23"/>
    </row>
    <row r="49" customFormat="false" ht="28" hidden="false" customHeight="true" outlineLevel="0" collapsed="false">
      <c r="A49" s="20" t="s">
        <v>782</v>
      </c>
      <c r="B49" s="23"/>
      <c r="C49" s="23" t="s">
        <v>1072</v>
      </c>
      <c r="D49" s="23"/>
    </row>
    <row r="50" customFormat="false" ht="28" hidden="false" customHeight="true" outlineLevel="0" collapsed="false">
      <c r="A50" s="20" t="s">
        <v>1073</v>
      </c>
      <c r="B50" s="23"/>
      <c r="C50" s="23"/>
      <c r="D50" s="23"/>
    </row>
    <row r="51" customFormat="false" ht="28" hidden="false" customHeight="true" outlineLevel="0" collapsed="false">
      <c r="A51" s="20" t="s">
        <v>983</v>
      </c>
      <c r="B51" s="23"/>
      <c r="C51" s="23"/>
      <c r="D51" s="23"/>
    </row>
    <row r="52" customFormat="false" ht="28" hidden="false" customHeight="true" outlineLevel="0" collapsed="false">
      <c r="A52" s="20" t="s">
        <v>1074</v>
      </c>
      <c r="B52" s="23"/>
      <c r="C52" s="23" t="s">
        <v>1075</v>
      </c>
      <c r="D52" s="23"/>
    </row>
    <row r="53" customFormat="false" ht="28" hidden="false" customHeight="true" outlineLevel="0" collapsed="false">
      <c r="A53" s="20" t="s">
        <v>1076</v>
      </c>
      <c r="B53" s="23" t="s">
        <v>1077</v>
      </c>
      <c r="C53" s="23" t="s">
        <v>1078</v>
      </c>
      <c r="D53" s="23"/>
    </row>
    <row r="54" customFormat="false" ht="28" hidden="false" customHeight="true" outlineLevel="0" collapsed="false">
      <c r="A54" s="20" t="s">
        <v>1079</v>
      </c>
      <c r="B54" s="23"/>
      <c r="C54" s="23"/>
      <c r="D54" s="23"/>
    </row>
    <row r="55" customFormat="false" ht="28" hidden="false" customHeight="true" outlineLevel="0" collapsed="false">
      <c r="A55" s="20" t="s">
        <v>1080</v>
      </c>
      <c r="B55" s="23"/>
      <c r="C55" s="23" t="s">
        <v>1081</v>
      </c>
      <c r="D55" s="23"/>
    </row>
    <row r="56" customFormat="false" ht="28" hidden="false" customHeight="true" outlineLevel="0" collapsed="false">
      <c r="A56" s="20" t="s">
        <v>1082</v>
      </c>
      <c r="B56" s="23"/>
      <c r="C56" s="23" t="s">
        <v>1081</v>
      </c>
      <c r="D56" s="23"/>
    </row>
    <row r="57" customFormat="false" ht="28" hidden="false" customHeight="true" outlineLevel="0" collapsed="false">
      <c r="A57" s="20" t="s">
        <v>1083</v>
      </c>
      <c r="B57" s="23" t="s">
        <v>1084</v>
      </c>
      <c r="C57" s="23" t="s">
        <v>1085</v>
      </c>
      <c r="D57" s="23"/>
    </row>
    <row r="58" customFormat="false" ht="28" hidden="false" customHeight="true" outlineLevel="0" collapsed="false">
      <c r="A58" s="20" t="s">
        <v>1086</v>
      </c>
      <c r="B58" s="23"/>
      <c r="C58" s="23" t="s">
        <v>1087</v>
      </c>
      <c r="D58" s="23"/>
    </row>
    <row r="59" customFormat="false" ht="28" hidden="false" customHeight="true" outlineLevel="0" collapsed="false">
      <c r="A59" s="20" t="s">
        <v>1088</v>
      </c>
      <c r="B59" s="23"/>
      <c r="C59" s="23"/>
      <c r="D59" s="23"/>
    </row>
    <row r="60" customFormat="false" ht="28" hidden="false" customHeight="true" outlineLevel="0" collapsed="false">
      <c r="A60" s="20" t="s">
        <v>1089</v>
      </c>
      <c r="B60" s="23" t="s">
        <v>1090</v>
      </c>
      <c r="C60" s="23" t="s">
        <v>1091</v>
      </c>
      <c r="D60" s="23"/>
    </row>
    <row r="61" customFormat="false" ht="28" hidden="false" customHeight="true" outlineLevel="0" collapsed="false">
      <c r="A61" s="20" t="s">
        <v>819</v>
      </c>
      <c r="B61" s="23"/>
      <c r="C61" s="23" t="s">
        <v>1092</v>
      </c>
      <c r="D61" s="23"/>
    </row>
    <row r="62" customFormat="false" ht="28" hidden="false" customHeight="true" outlineLevel="0" collapsed="false">
      <c r="A62" s="20" t="s">
        <v>964</v>
      </c>
      <c r="B62" s="23" t="s">
        <v>1093</v>
      </c>
      <c r="C62" s="23" t="s">
        <v>1094</v>
      </c>
      <c r="D62" s="23"/>
    </row>
    <row r="63" customFormat="false" ht="28" hidden="false" customHeight="true" outlineLevel="0" collapsed="false">
      <c r="A63" s="20" t="s">
        <v>1095</v>
      </c>
      <c r="B63" s="23" t="s">
        <v>1093</v>
      </c>
      <c r="C63" s="23" t="s">
        <v>1096</v>
      </c>
      <c r="D63" s="23"/>
    </row>
    <row r="64" customFormat="false" ht="28" hidden="false" customHeight="true" outlineLevel="0" collapsed="false">
      <c r="A64" s="20" t="s">
        <v>1097</v>
      </c>
      <c r="B64" s="23" t="s">
        <v>1093</v>
      </c>
      <c r="C64" s="23" t="s">
        <v>1098</v>
      </c>
      <c r="D64" s="23"/>
    </row>
    <row r="65" customFormat="false" ht="28" hidden="false" customHeight="true" outlineLevel="0" collapsed="false">
      <c r="A65" s="20" t="s">
        <v>1099</v>
      </c>
      <c r="B65" s="23"/>
      <c r="C65" s="23" t="s">
        <v>1100</v>
      </c>
      <c r="D65" s="23"/>
    </row>
    <row r="66" customFormat="false" ht="28" hidden="false" customHeight="true" outlineLevel="0" collapsed="false">
      <c r="A66" s="20" t="s">
        <v>1101</v>
      </c>
      <c r="B66" s="23"/>
      <c r="C66" s="23"/>
      <c r="D66" s="23"/>
    </row>
    <row r="67" customFormat="false" ht="28" hidden="false" customHeight="true" outlineLevel="0" collapsed="false">
      <c r="A67" s="20" t="s">
        <v>892</v>
      </c>
      <c r="B67" s="23" t="s">
        <v>1102</v>
      </c>
      <c r="C67" s="23" t="s">
        <v>1103</v>
      </c>
      <c r="D67" s="23"/>
    </row>
    <row r="68" customFormat="false" ht="28" hidden="false" customHeight="true" outlineLevel="0" collapsed="false">
      <c r="A68" s="20" t="s">
        <v>1104</v>
      </c>
      <c r="B68" s="23" t="s">
        <v>1105</v>
      </c>
      <c r="C68" s="23" t="s">
        <v>1106</v>
      </c>
      <c r="D68" s="23"/>
    </row>
    <row r="69" customFormat="false" ht="28" hidden="false" customHeight="true" outlineLevel="0" collapsed="false">
      <c r="A69" s="20" t="s">
        <v>1107</v>
      </c>
      <c r="B69" s="23" t="s">
        <v>1108</v>
      </c>
      <c r="C69" s="23" t="s">
        <v>1109</v>
      </c>
      <c r="D69" s="23"/>
    </row>
    <row r="70" customFormat="false" ht="28" hidden="false" customHeight="true" outlineLevel="0" collapsed="false">
      <c r="A70" s="20" t="s">
        <v>740</v>
      </c>
      <c r="B70" s="23" t="s">
        <v>1110</v>
      </c>
      <c r="C70" s="23" t="s">
        <v>1111</v>
      </c>
      <c r="D70" s="23"/>
    </row>
    <row r="71" customFormat="false" ht="28" hidden="false" customHeight="true" outlineLevel="0" collapsed="false">
      <c r="A71" s="20" t="s">
        <v>1112</v>
      </c>
      <c r="B71" s="23" t="s">
        <v>1113</v>
      </c>
      <c r="C71" s="23" t="s">
        <v>1114</v>
      </c>
      <c r="D71" s="23"/>
    </row>
    <row r="72" customFormat="false" ht="28" hidden="false" customHeight="true" outlineLevel="0" collapsed="false">
      <c r="A72" s="20" t="s">
        <v>767</v>
      </c>
      <c r="B72" s="23"/>
      <c r="C72" s="23" t="s">
        <v>1115</v>
      </c>
      <c r="D72" s="23"/>
    </row>
    <row r="73" customFormat="false" ht="28" hidden="false" customHeight="true" outlineLevel="0" collapsed="false">
      <c r="A73" s="20" t="s">
        <v>1116</v>
      </c>
      <c r="B73" s="23" t="s">
        <v>1117</v>
      </c>
      <c r="C73" s="23" t="s">
        <v>1118</v>
      </c>
      <c r="D73" s="23"/>
    </row>
    <row r="74" customFormat="false" ht="28" hidden="false" customHeight="true" outlineLevel="0" collapsed="false">
      <c r="A74" s="20" t="s">
        <v>1119</v>
      </c>
      <c r="B74" s="23" t="s">
        <v>1120</v>
      </c>
      <c r="C74" s="23" t="s">
        <v>1121</v>
      </c>
      <c r="D74" s="23"/>
    </row>
    <row r="75" customFormat="false" ht="28" hidden="false" customHeight="true" outlineLevel="0" collapsed="false">
      <c r="A75" s="20" t="s">
        <v>1122</v>
      </c>
      <c r="B75" s="23" t="s">
        <v>1123</v>
      </c>
      <c r="C75" s="23" t="s">
        <v>1124</v>
      </c>
      <c r="D75" s="23"/>
    </row>
    <row r="76" customFormat="false" ht="28" hidden="false" customHeight="true" outlineLevel="0" collapsed="false">
      <c r="A76" s="20" t="s">
        <v>1125</v>
      </c>
      <c r="B76" s="23"/>
      <c r="C76" s="23" t="s">
        <v>1126</v>
      </c>
      <c r="D76" s="23"/>
    </row>
    <row r="77" customFormat="false" ht="28" hidden="false" customHeight="true" outlineLevel="0" collapsed="false">
      <c r="A77" s="20" t="s">
        <v>1127</v>
      </c>
      <c r="B77" s="23" t="s">
        <v>1128</v>
      </c>
      <c r="C77" s="23" t="s">
        <v>1129</v>
      </c>
      <c r="D77" s="23"/>
    </row>
    <row r="78" customFormat="false" ht="28" hidden="false" customHeight="true" outlineLevel="0" collapsed="false">
      <c r="A78" s="20" t="s">
        <v>1130</v>
      </c>
      <c r="B78" s="23" t="s">
        <v>1131</v>
      </c>
      <c r="C78" s="23" t="s">
        <v>1132</v>
      </c>
      <c r="D78" s="23"/>
    </row>
    <row r="79" customFormat="false" ht="16" hidden="false" customHeight="false" outlineLevel="0" collapsed="false">
      <c r="A79" s="0" t="s">
        <v>1133</v>
      </c>
      <c r="B79" s="0" t="s">
        <v>1134</v>
      </c>
      <c r="C79" s="24" t="s">
        <v>1135</v>
      </c>
    </row>
    <row r="80" customFormat="false" ht="16" hidden="false" customHeight="false" outlineLevel="0" collapsed="false">
      <c r="A80" s="0" t="s">
        <v>1136</v>
      </c>
      <c r="C80" s="0" t="s">
        <v>1137</v>
      </c>
    </row>
    <row r="81" customFormat="false" ht="16" hidden="false" customHeight="false" outlineLevel="0" collapsed="false">
      <c r="A81" s="0" t="s">
        <v>1019</v>
      </c>
      <c r="C81" s="0" t="s">
        <v>1138</v>
      </c>
    </row>
    <row r="82" customFormat="false" ht="16" hidden="false" customHeight="false" outlineLevel="0" collapsed="false">
      <c r="A82" s="0" t="s">
        <v>1139</v>
      </c>
      <c r="B82" s="24" t="s">
        <v>1140</v>
      </c>
      <c r="C82" s="24" t="s">
        <v>1141</v>
      </c>
    </row>
    <row r="83" customFormat="false" ht="16" hidden="false" customHeight="false" outlineLevel="0" collapsed="false">
      <c r="A83" s="0" t="s">
        <v>1142</v>
      </c>
      <c r="B83" s="24" t="s">
        <v>1143</v>
      </c>
      <c r="C83" s="24" t="s">
        <v>1144</v>
      </c>
    </row>
    <row r="84" customFormat="false" ht="16" hidden="false" customHeight="false" outlineLevel="0" collapsed="false">
      <c r="A84" s="0" t="s">
        <v>1145</v>
      </c>
      <c r="C84" s="0" t="s">
        <v>1146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1484375" defaultRowHeight="16" customHeight="false" zeroHeight="false" outlineLevelRow="0" outlineLevelCol="0"/>
  <cols>
    <col collapsed="false" customWidth="true" hidden="false" outlineLevel="0" max="1" min="1" style="0" width="32.97"/>
    <col collapsed="false" customWidth="true" hidden="false" outlineLevel="0" max="2" min="2" style="0" width="34.07"/>
    <col collapsed="false" customWidth="true" hidden="false" outlineLevel="0" max="3" min="3" style="0" width="49.46"/>
  </cols>
  <sheetData>
    <row r="1" customFormat="false" ht="34.75" hidden="false" customHeight="true" outlineLevel="0" collapsed="false">
      <c r="A1" s="25" t="s">
        <v>1147</v>
      </c>
      <c r="B1" s="25"/>
      <c r="C1" s="25"/>
    </row>
    <row r="2" customFormat="false" ht="45.25" hidden="false" customHeight="true" outlineLevel="0" collapsed="false">
      <c r="A2" s="26" t="s">
        <v>1148</v>
      </c>
      <c r="B2" s="26"/>
      <c r="C2" s="26"/>
    </row>
    <row r="4" customFormat="false" ht="29.25" hidden="false" customHeight="true" outlineLevel="0" collapsed="false">
      <c r="A4" s="27" t="s">
        <v>1149</v>
      </c>
      <c r="B4" s="27" t="s">
        <v>1150</v>
      </c>
      <c r="C4" s="27" t="s">
        <v>1151</v>
      </c>
    </row>
    <row r="5" customFormat="false" ht="26.75" hidden="false" customHeight="true" outlineLevel="0" collapsed="false">
      <c r="A5" s="28" t="s">
        <v>363</v>
      </c>
      <c r="B5" s="28" t="s">
        <v>1152</v>
      </c>
      <c r="C5" s="29"/>
    </row>
    <row r="6" customFormat="false" ht="26.75" hidden="false" customHeight="true" outlineLevel="0" collapsed="false">
      <c r="A6" s="28" t="s">
        <v>212</v>
      </c>
      <c r="B6" s="28" t="s">
        <v>1153</v>
      </c>
      <c r="C6" s="29"/>
    </row>
    <row r="7" customFormat="false" ht="26.75" hidden="false" customHeight="true" outlineLevel="0" collapsed="false">
      <c r="A7" s="28" t="s">
        <v>436</v>
      </c>
      <c r="B7" s="28" t="s">
        <v>1154</v>
      </c>
      <c r="C7" s="29"/>
    </row>
    <row r="8" customFormat="false" ht="26.75" hidden="false" customHeight="true" outlineLevel="0" collapsed="false">
      <c r="A8" s="28" t="s">
        <v>523</v>
      </c>
      <c r="B8" s="28" t="s">
        <v>1154</v>
      </c>
      <c r="C8" s="29"/>
    </row>
    <row r="9" customFormat="false" ht="26.75" hidden="false" customHeight="true" outlineLevel="0" collapsed="false">
      <c r="A9" s="28" t="s">
        <v>404</v>
      </c>
      <c r="B9" s="28" t="s">
        <v>1155</v>
      </c>
      <c r="C9" s="29"/>
    </row>
    <row r="10" customFormat="false" ht="26.75" hidden="false" customHeight="true" outlineLevel="0" collapsed="false">
      <c r="A10" s="28" t="s">
        <v>425</v>
      </c>
      <c r="B10" s="28" t="s">
        <v>1156</v>
      </c>
      <c r="C10" s="29" t="s">
        <v>1157</v>
      </c>
    </row>
    <row r="11" customFormat="false" ht="26.75" hidden="false" customHeight="true" outlineLevel="0" collapsed="false">
      <c r="A11" s="28" t="s">
        <v>1158</v>
      </c>
      <c r="B11" s="28" t="s">
        <v>1154</v>
      </c>
      <c r="C11" s="29"/>
    </row>
    <row r="12" customFormat="false" ht="26.75" hidden="false" customHeight="true" outlineLevel="0" collapsed="false">
      <c r="A12" s="28" t="s">
        <v>1159</v>
      </c>
      <c r="B12" s="28" t="s">
        <v>1160</v>
      </c>
      <c r="C12" s="29"/>
    </row>
    <row r="13" customFormat="false" ht="26.75" hidden="false" customHeight="true" outlineLevel="0" collapsed="false">
      <c r="A13" s="28" t="s">
        <v>353</v>
      </c>
      <c r="B13" s="28" t="s">
        <v>1153</v>
      </c>
      <c r="C13" s="29"/>
    </row>
    <row r="14" customFormat="false" ht="26.75" hidden="false" customHeight="true" outlineLevel="0" collapsed="false">
      <c r="A14" s="28" t="s">
        <v>1161</v>
      </c>
      <c r="B14" s="28" t="s">
        <v>1162</v>
      </c>
      <c r="C14" s="29"/>
    </row>
    <row r="15" customFormat="false" ht="26.75" hidden="false" customHeight="true" outlineLevel="0" collapsed="false">
      <c r="A15" s="28" t="s">
        <v>1163</v>
      </c>
      <c r="B15" s="28" t="s">
        <v>1164</v>
      </c>
      <c r="C15" s="29"/>
    </row>
    <row r="16" customFormat="false" ht="26.75" hidden="false" customHeight="true" outlineLevel="0" collapsed="false">
      <c r="A16" s="28" t="s">
        <v>40</v>
      </c>
      <c r="B16" s="28" t="s">
        <v>1165</v>
      </c>
      <c r="C16" s="29"/>
    </row>
    <row r="17" customFormat="false" ht="26.75" hidden="false" customHeight="true" outlineLevel="0" collapsed="false">
      <c r="A17" s="28" t="s">
        <v>241</v>
      </c>
      <c r="B17" s="28" t="s">
        <v>1165</v>
      </c>
      <c r="C17" s="29"/>
    </row>
    <row r="18" customFormat="false" ht="26.75" hidden="false" customHeight="true" outlineLevel="0" collapsed="false">
      <c r="A18" s="28" t="s">
        <v>467</v>
      </c>
      <c r="B18" s="28" t="s">
        <v>1160</v>
      </c>
      <c r="C18" s="29"/>
    </row>
    <row r="19" customFormat="false" ht="26.75" hidden="false" customHeight="true" outlineLevel="0" collapsed="false">
      <c r="A19" s="28" t="s">
        <v>305</v>
      </c>
      <c r="B19" s="28" t="s">
        <v>1152</v>
      </c>
      <c r="C19" s="29"/>
    </row>
    <row r="20" customFormat="false" ht="26.75" hidden="false" customHeight="true" outlineLevel="0" collapsed="false">
      <c r="A20" s="28" t="s">
        <v>642</v>
      </c>
      <c r="B20" s="28" t="s">
        <v>1164</v>
      </c>
      <c r="C20" s="29"/>
    </row>
    <row r="21" customFormat="false" ht="26.75" hidden="false" customHeight="true" outlineLevel="0" collapsed="false">
      <c r="A21" s="28" t="s">
        <v>1166</v>
      </c>
      <c r="B21" s="28" t="s">
        <v>1164</v>
      </c>
      <c r="C21" s="29"/>
    </row>
    <row r="22" customFormat="false" ht="26.75" hidden="false" customHeight="true" outlineLevel="0" collapsed="false">
      <c r="A22" s="28" t="s">
        <v>76</v>
      </c>
      <c r="B22" s="28" t="s">
        <v>1164</v>
      </c>
      <c r="C22" s="29"/>
    </row>
    <row r="23" customFormat="false" ht="26.75" hidden="false" customHeight="true" outlineLevel="0" collapsed="false">
      <c r="A23" s="28" t="s">
        <v>1167</v>
      </c>
      <c r="B23" s="28" t="s">
        <v>1168</v>
      </c>
      <c r="C23" s="29"/>
    </row>
    <row r="24" customFormat="false" ht="26.75" hidden="false" customHeight="true" outlineLevel="0" collapsed="false">
      <c r="A24" s="28" t="s">
        <v>1169</v>
      </c>
      <c r="B24" s="28" t="s">
        <v>1152</v>
      </c>
      <c r="C24" s="29"/>
    </row>
    <row r="25" customFormat="false" ht="26.75" hidden="false" customHeight="true" outlineLevel="0" collapsed="false">
      <c r="A25" s="28" t="s">
        <v>382</v>
      </c>
      <c r="B25" s="28" t="s">
        <v>1153</v>
      </c>
      <c r="C25" s="29"/>
    </row>
    <row r="26" customFormat="false" ht="26.75" hidden="false" customHeight="true" outlineLevel="0" collapsed="false">
      <c r="A26" s="28" t="s">
        <v>536</v>
      </c>
      <c r="B26" s="28" t="s">
        <v>1153</v>
      </c>
      <c r="C26" s="29"/>
    </row>
    <row r="27" customFormat="false" ht="26.75" hidden="false" customHeight="true" outlineLevel="0" collapsed="false">
      <c r="A27" s="28" t="s">
        <v>634</v>
      </c>
      <c r="B27" s="28" t="s">
        <v>1156</v>
      </c>
      <c r="C27" s="29" t="s">
        <v>1170</v>
      </c>
    </row>
    <row r="28" customFormat="false" ht="26.75" hidden="false" customHeight="true" outlineLevel="0" collapsed="false">
      <c r="A28" s="28" t="s">
        <v>1171</v>
      </c>
      <c r="B28" s="28" t="s">
        <v>1168</v>
      </c>
      <c r="C28" s="29"/>
    </row>
    <row r="29" customFormat="false" ht="26.75" hidden="false" customHeight="true" outlineLevel="0" collapsed="false">
      <c r="A29" s="28" t="s">
        <v>107</v>
      </c>
      <c r="B29" s="28" t="s">
        <v>1168</v>
      </c>
      <c r="C29" s="29"/>
    </row>
    <row r="30" customFormat="false" ht="26.75" hidden="false" customHeight="true" outlineLevel="0" collapsed="false">
      <c r="A30" s="28" t="s">
        <v>233</v>
      </c>
      <c r="B30" s="28" t="s">
        <v>1168</v>
      </c>
      <c r="C30" s="29"/>
    </row>
    <row r="31" customFormat="false" ht="26.75" hidden="false" customHeight="true" outlineLevel="0" collapsed="false">
      <c r="A31" s="28" t="s">
        <v>183</v>
      </c>
      <c r="B31" s="28" t="s">
        <v>1165</v>
      </c>
      <c r="C31" s="29"/>
    </row>
    <row r="32" customFormat="false" ht="26.75" hidden="false" customHeight="true" outlineLevel="0" collapsed="false">
      <c r="A32" s="28" t="s">
        <v>629</v>
      </c>
      <c r="B32" s="28" t="s">
        <v>1160</v>
      </c>
      <c r="C32" s="29"/>
    </row>
    <row r="33" customFormat="false" ht="26.75" hidden="false" customHeight="true" outlineLevel="0" collapsed="false">
      <c r="A33" s="28" t="s">
        <v>1172</v>
      </c>
      <c r="B33" s="28" t="s">
        <v>1160</v>
      </c>
      <c r="C33" s="29"/>
    </row>
    <row r="34" customFormat="false" ht="26.75" hidden="false" customHeight="true" outlineLevel="0" collapsed="false">
      <c r="A34" s="28" t="s">
        <v>371</v>
      </c>
      <c r="B34" s="28" t="s">
        <v>1154</v>
      </c>
      <c r="C34" s="29"/>
    </row>
    <row r="35" customFormat="false" ht="26.75" hidden="false" customHeight="true" outlineLevel="0" collapsed="false">
      <c r="A35" s="28" t="s">
        <v>582</v>
      </c>
      <c r="B35" s="28" t="s">
        <v>1153</v>
      </c>
      <c r="C35" s="29"/>
    </row>
    <row r="36" customFormat="false" ht="26.75" hidden="false" customHeight="true" outlineLevel="0" collapsed="false">
      <c r="A36" s="28" t="s">
        <v>314</v>
      </c>
      <c r="B36" s="28" t="s">
        <v>1156</v>
      </c>
      <c r="C36" s="29" t="s">
        <v>1157</v>
      </c>
    </row>
    <row r="37" customFormat="false" ht="26.75" hidden="false" customHeight="true" outlineLevel="0" collapsed="false">
      <c r="A37" s="28" t="s">
        <v>1173</v>
      </c>
      <c r="B37" s="28" t="s">
        <v>1165</v>
      </c>
      <c r="C37" s="29"/>
    </row>
    <row r="38" customFormat="false" ht="26.75" hidden="false" customHeight="true" outlineLevel="0" collapsed="false">
      <c r="A38" s="28" t="s">
        <v>219</v>
      </c>
      <c r="B38" s="28" t="s">
        <v>1162</v>
      </c>
      <c r="C38" s="29"/>
    </row>
    <row r="39" customFormat="false" ht="26.75" hidden="false" customHeight="true" outlineLevel="0" collapsed="false">
      <c r="A39" s="28" t="s">
        <v>282</v>
      </c>
      <c r="B39" s="28" t="s">
        <v>1160</v>
      </c>
      <c r="C39" s="29" t="s">
        <v>1174</v>
      </c>
    </row>
    <row r="40" customFormat="false" ht="26.75" hidden="false" customHeight="true" outlineLevel="0" collapsed="false">
      <c r="A40" s="28" t="s">
        <v>512</v>
      </c>
      <c r="B40" s="28" t="s">
        <v>1160</v>
      </c>
      <c r="C40" s="29"/>
    </row>
    <row r="41" customFormat="false" ht="26.75" hidden="false" customHeight="true" outlineLevel="0" collapsed="false">
      <c r="A41" s="28" t="s">
        <v>1175</v>
      </c>
      <c r="B41" s="28" t="s">
        <v>1160</v>
      </c>
      <c r="C41" s="29"/>
    </row>
    <row r="42" customFormat="false" ht="26.75" hidden="false" customHeight="true" outlineLevel="0" collapsed="false">
      <c r="A42" s="28" t="s">
        <v>1176</v>
      </c>
      <c r="B42" s="28" t="s">
        <v>1164</v>
      </c>
      <c r="C42" s="29"/>
    </row>
    <row r="43" customFormat="false" ht="26.75" hidden="false" customHeight="true" outlineLevel="0" collapsed="false">
      <c r="A43" s="28" t="s">
        <v>267</v>
      </c>
      <c r="B43" s="28" t="s">
        <v>1156</v>
      </c>
      <c r="C43" s="29" t="s">
        <v>1157</v>
      </c>
    </row>
    <row r="44" customFormat="false" ht="26.75" hidden="false" customHeight="true" outlineLevel="0" collapsed="false">
      <c r="A44" s="28" t="s">
        <v>224</v>
      </c>
      <c r="B44" s="28" t="s">
        <v>1162</v>
      </c>
      <c r="C44" s="29"/>
    </row>
    <row r="45" customFormat="false" ht="26.75" hidden="false" customHeight="true" outlineLevel="0" collapsed="false">
      <c r="A45" s="28" t="s">
        <v>204</v>
      </c>
      <c r="B45" s="28" t="s">
        <v>1162</v>
      </c>
      <c r="C45" s="29"/>
    </row>
    <row r="46" customFormat="false" ht="26.75" hidden="false" customHeight="true" outlineLevel="0" collapsed="false">
      <c r="A46" s="28" t="s">
        <v>1177</v>
      </c>
      <c r="B46" s="28" t="s">
        <v>1162</v>
      </c>
      <c r="C46" s="29"/>
    </row>
    <row r="47" customFormat="false" ht="26.75" hidden="false" customHeight="true" outlineLevel="0" collapsed="false">
      <c r="A47" s="28" t="s">
        <v>198</v>
      </c>
      <c r="B47" s="28" t="s">
        <v>1155</v>
      </c>
      <c r="C47" s="29"/>
    </row>
    <row r="48" customFormat="false" ht="26.75" hidden="false" customHeight="true" outlineLevel="0" collapsed="false">
      <c r="A48" s="28" t="s">
        <v>1178</v>
      </c>
      <c r="B48" s="28" t="s">
        <v>1156</v>
      </c>
      <c r="C48" s="29" t="s">
        <v>1179</v>
      </c>
    </row>
    <row r="49" customFormat="false" ht="26.75" hidden="false" customHeight="true" outlineLevel="0" collapsed="false">
      <c r="A49" s="28" t="s">
        <v>332</v>
      </c>
      <c r="B49" s="28" t="s">
        <v>1155</v>
      </c>
      <c r="C49" s="29"/>
    </row>
    <row r="50" customFormat="false" ht="26.75" hidden="false" customHeight="true" outlineLevel="0" collapsed="false">
      <c r="A50" s="28" t="s">
        <v>255</v>
      </c>
      <c r="B50" s="28" t="s">
        <v>1162</v>
      </c>
      <c r="C50" s="29"/>
    </row>
    <row r="51" customFormat="false" ht="26.75" hidden="false" customHeight="true" outlineLevel="0" collapsed="false">
      <c r="A51" s="28" t="s">
        <v>1180</v>
      </c>
      <c r="B51" s="28" t="s">
        <v>1162</v>
      </c>
      <c r="C51" s="29"/>
    </row>
    <row r="52" customFormat="false" ht="26.75" hidden="false" customHeight="true" outlineLevel="0" collapsed="false">
      <c r="A52" s="28" t="s">
        <v>275</v>
      </c>
      <c r="B52" s="28" t="s">
        <v>1168</v>
      </c>
      <c r="C52" s="29"/>
    </row>
    <row r="53" customFormat="false" ht="16" hidden="false" customHeight="false" outlineLevel="0" collapsed="false">
      <c r="A53" s="0" t="s">
        <v>656</v>
      </c>
      <c r="B53" s="0" t="s">
        <v>436</v>
      </c>
      <c r="C53" s="0" t="s">
        <v>1181</v>
      </c>
    </row>
    <row r="54" customFormat="false" ht="16" hidden="false" customHeight="false" outlineLevel="0" collapsed="false">
      <c r="A54" s="0" t="s">
        <v>665</v>
      </c>
      <c r="B54" s="0" t="s">
        <v>1156</v>
      </c>
    </row>
    <row r="55" customFormat="false" ht="16" hidden="false" customHeight="false" outlineLevel="0" collapsed="false">
      <c r="A55" s="0" t="s">
        <v>672</v>
      </c>
      <c r="B55" s="0" t="s">
        <v>1154</v>
      </c>
      <c r="C55" s="0" t="s">
        <v>1182</v>
      </c>
    </row>
    <row r="56" customFormat="false" ht="16" hidden="false" customHeight="false" outlineLevel="0" collapsed="false">
      <c r="A56" s="0" t="s">
        <v>1183</v>
      </c>
      <c r="B56" s="0" t="s">
        <v>1154</v>
      </c>
      <c r="C56" s="0" t="s">
        <v>1184</v>
      </c>
    </row>
    <row r="57" customFormat="false" ht="16" hidden="false" customHeight="false" outlineLevel="0" collapsed="false">
      <c r="A57" s="0" t="s">
        <v>683</v>
      </c>
      <c r="B57" s="0" t="s">
        <v>1164</v>
      </c>
      <c r="C57" s="0" t="s">
        <v>1185</v>
      </c>
    </row>
    <row r="58" customFormat="false" ht="16" hidden="false" customHeight="false" outlineLevel="0" collapsed="false">
      <c r="A58" s="0" t="s">
        <v>713</v>
      </c>
      <c r="B58" s="0" t="s">
        <v>204</v>
      </c>
      <c r="C58" s="0" t="s">
        <v>1186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customHeight="false" zeroHeight="false" outlineLevelRow="0" outlineLevelCol="0"/>
  <cols>
    <col collapsed="false" customWidth="true" hidden="false" outlineLevel="0" max="1" min="1" style="0" width="29.67"/>
    <col collapsed="false" customWidth="true" hidden="false" outlineLevel="0" max="2" min="2" style="0" width="16.49"/>
    <col collapsed="false" customWidth="true" hidden="false" outlineLevel="0" max="4" min="3" style="0" width="19.79"/>
    <col collapsed="false" customWidth="true" hidden="false" outlineLevel="0" max="5" min="5" style="0" width="37.37"/>
    <col collapsed="false" customWidth="true" hidden="false" outlineLevel="0" max="7" min="6" style="0" width="5.5"/>
    <col collapsed="false" customWidth="true" hidden="false" outlineLevel="0" max="8" min="8" style="0" width="38.47"/>
    <col collapsed="false" customWidth="true" hidden="false" outlineLevel="0" max="9" min="9" style="0" width="25.28"/>
    <col collapsed="false" customWidth="true" hidden="false" outlineLevel="0" max="10" min="10" style="0" width="15.39"/>
    <col collapsed="false" customWidth="true" hidden="false" outlineLevel="0" max="11" min="11" style="0" width="17.59"/>
    <col collapsed="false" customWidth="true" hidden="false" outlineLevel="0" max="12" min="12" style="0" width="13.19"/>
  </cols>
  <sheetData>
    <row r="1" customFormat="false" ht="32" hidden="false" customHeight="true" outlineLevel="0" collapsed="false">
      <c r="A1" s="30" t="s">
        <v>1187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customFormat="false" ht="24" hidden="false" customHeight="true" outlineLevel="0" collapsed="false">
      <c r="A2" s="31" t="s">
        <v>1188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customFormat="false" ht="15" hidden="false" customHeight="false" outlineLevel="0" collapsed="false">
      <c r="A4" s="32" t="s">
        <v>1189</v>
      </c>
      <c r="B4" s="32"/>
      <c r="C4" s="32"/>
      <c r="D4" s="32"/>
      <c r="E4" s="32"/>
      <c r="F4" s="32"/>
      <c r="H4" s="32" t="s">
        <v>1190</v>
      </c>
      <c r="I4" s="32"/>
      <c r="J4" s="32"/>
      <c r="K4" s="32"/>
      <c r="L4" s="32"/>
    </row>
    <row r="5" customFormat="false" ht="22" hidden="false" customHeight="true" outlineLevel="0" collapsed="false">
      <c r="A5" s="33" t="s">
        <v>1191</v>
      </c>
      <c r="B5" s="33"/>
      <c r="C5" s="34" t="n">
        <f aca="false">SUMIFS('Prize Details'!$H$5:$H$28,'Prize Details'!$I$5:$I$28,"SGD",'Prize Details'!$X$5:$X$28,"Yes")</f>
        <v>2850</v>
      </c>
      <c r="D5" s="34"/>
      <c r="H5" s="33" t="s">
        <v>1192</v>
      </c>
      <c r="I5" s="33"/>
      <c r="J5" s="35" t="n">
        <f aca="false">SUMIFS('Prize Details'!$K$5:$K$28,'Prize Details'!$L$5:$L$28,"USD")</f>
        <v>131400</v>
      </c>
      <c r="K5" s="35"/>
    </row>
    <row r="6" customFormat="false" ht="22" hidden="false" customHeight="true" outlineLevel="0" collapsed="false">
      <c r="A6" s="33" t="s">
        <v>1193</v>
      </c>
      <c r="B6" s="33"/>
      <c r="C6" s="34" t="n">
        <f aca="false">SUMIFS('Prize Details'!$H$5:$H$28,'Prize Details'!$I$5:$I$28,"USD",'Prize Details'!$X$5:$X$28,"Yes")</f>
        <v>0</v>
      </c>
      <c r="D6" s="34"/>
      <c r="H6" s="33" t="s">
        <v>1194</v>
      </c>
      <c r="I6" s="33"/>
      <c r="J6" s="35" t="n">
        <f aca="false">SUMIFS('Prize Details'!$K$5:$K$28,'Prize Details'!$L$5:$L$28,"SGD")</f>
        <v>385</v>
      </c>
      <c r="K6" s="35"/>
    </row>
    <row r="7" customFormat="false" ht="22" hidden="false" customHeight="true" outlineLevel="0" collapsed="false">
      <c r="A7" s="33" t="s">
        <v>1195</v>
      </c>
      <c r="B7" s="33"/>
      <c r="C7" s="34" t="n">
        <f aca="false">COUNTIFS('Prize Details'!$H$5:$H$28,"&gt;0",'Prize Details'!$X$5:$X$28,"Yes")</f>
        <v>6</v>
      </c>
      <c r="D7" s="34"/>
      <c r="H7" s="33" t="s">
        <v>1196</v>
      </c>
      <c r="I7" s="33"/>
      <c r="J7" s="35" t="n">
        <f aca="false">SUMIFS('Prize Details'!$O$5:$O$28,'Prize Details'!$P$5:$P$28,"USD")</f>
        <v>156</v>
      </c>
      <c r="K7" s="35"/>
    </row>
    <row r="8" customFormat="false" ht="22" hidden="false" customHeight="true" outlineLevel="0" collapsed="false">
      <c r="A8" s="36" t="s">
        <v>1197</v>
      </c>
      <c r="B8" s="36"/>
      <c r="C8" s="36"/>
      <c r="D8" s="36"/>
      <c r="E8" s="36"/>
      <c r="F8" s="36"/>
      <c r="H8" s="33" t="s">
        <v>1198</v>
      </c>
      <c r="I8" s="33"/>
      <c r="J8" s="37" t="n">
        <f aca="false">SUM('Prize Details'!$N$5:$N$28)</f>
        <v>4</v>
      </c>
      <c r="K8" s="37"/>
    </row>
    <row r="10" customFormat="false" ht="24" hidden="false" customHeight="true" outlineLevel="0" collapsed="false">
      <c r="A10" s="38" t="s">
        <v>1199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customFormat="false" ht="24" hidden="false" customHeight="true" outlineLevel="0" collapsed="false">
      <c r="A11" s="39" t="s">
        <v>1200</v>
      </c>
      <c r="B11" s="39" t="s">
        <v>1201</v>
      </c>
      <c r="C11" s="39" t="s">
        <v>1202</v>
      </c>
      <c r="D11" s="39" t="s">
        <v>1203</v>
      </c>
      <c r="E11" s="2" t="s">
        <v>1204</v>
      </c>
      <c r="H11" s="32" t="s">
        <v>1205</v>
      </c>
      <c r="I11" s="32"/>
      <c r="J11" s="32"/>
      <c r="K11" s="32"/>
      <c r="L11" s="32"/>
    </row>
    <row r="12" customFormat="false" ht="24" hidden="false" customHeight="true" outlineLevel="0" collapsed="false">
      <c r="A12" s="40" t="s">
        <v>1189</v>
      </c>
      <c r="B12" s="40" t="s">
        <v>48</v>
      </c>
      <c r="C12" s="41" t="n">
        <f aca="false">SUMIFS('Prize Details'!$H$5:$H$28,'Prize Details'!$I$5:$I$28,B12,'Prize Details'!$X$5:$X$28,"Yes")</f>
        <v>2850</v>
      </c>
      <c r="D12" s="41" t="n">
        <f aca="false">SUMIFS('Prize Details'!$J$5:$J$28,'Prize Details'!$I$5:$I$28,B12,'Prize Details'!$X$5:$X$28,"Yes")</f>
        <v>1058.33333333333</v>
      </c>
      <c r="E12" s="42" t="s">
        <v>1206</v>
      </c>
      <c r="H12" s="33" t="s">
        <v>1207</v>
      </c>
      <c r="I12" s="33"/>
      <c r="J12" s="43" t="n">
        <f aca="false">COUNTIFS(Hackathons!$AA$2:$AA$82,"&lt;&gt;")</f>
        <v>4</v>
      </c>
      <c r="K12" s="43"/>
      <c r="L12" s="43"/>
    </row>
    <row r="13" customFormat="false" ht="24" hidden="false" customHeight="true" outlineLevel="0" collapsed="false">
      <c r="A13" s="40" t="s">
        <v>1189</v>
      </c>
      <c r="B13" s="40" t="s">
        <v>83</v>
      </c>
      <c r="C13" s="41" t="n">
        <f aca="false">SUMIFS('Prize Details'!$H$5:$H$28,'Prize Details'!$I$5:$I$28,B13,'Prize Details'!$X$5:$X$28,"Yes")</f>
        <v>0</v>
      </c>
      <c r="D13" s="41" t="n">
        <f aca="false">SUMIFS('Prize Details'!$J$5:$J$28,'Prize Details'!$I$5:$I$28,B13,'Prize Details'!$X$5:$X$28,"Yes")</f>
        <v>0</v>
      </c>
      <c r="E13" s="42" t="s">
        <v>1206</v>
      </c>
      <c r="H13" s="33" t="s">
        <v>1208</v>
      </c>
      <c r="I13" s="33"/>
      <c r="J13" s="43" t="n">
        <f aca="false">SUM(Hackathons!$AB$2:$AB$82)</f>
        <v>2</v>
      </c>
      <c r="K13" s="43"/>
      <c r="L13" s="43"/>
    </row>
    <row r="14" customFormat="false" ht="24" hidden="false" customHeight="true" outlineLevel="0" collapsed="false">
      <c r="A14" s="40" t="s">
        <v>1209</v>
      </c>
      <c r="B14" s="40" t="s">
        <v>83</v>
      </c>
      <c r="C14" s="41" t="n">
        <f aca="false">SUMIFS('Prize Details'!$K$5:$K$28,'Prize Details'!$L$5:$L$28,B14)</f>
        <v>131400</v>
      </c>
      <c r="D14" s="41" t="n">
        <f aca="false">SUMIFS('Prize Details'!$M$5:$M$28,'Prize Details'!$L$5:$L$28,B14)</f>
        <v>41558.3333333333</v>
      </c>
      <c r="E14" s="42" t="s">
        <v>1210</v>
      </c>
      <c r="H14" s="39" t="s">
        <v>1211</v>
      </c>
      <c r="I14" s="39" t="s">
        <v>1212</v>
      </c>
      <c r="J14" s="39" t="s">
        <v>1213</v>
      </c>
    </row>
    <row r="15" customFormat="false" ht="31" hidden="false" customHeight="true" outlineLevel="0" collapsed="false">
      <c r="A15" s="40" t="s">
        <v>1209</v>
      </c>
      <c r="B15" s="40" t="s">
        <v>48</v>
      </c>
      <c r="C15" s="41" t="n">
        <f aca="false">SUMIFS('Prize Details'!$K$5:$K$28,'Prize Details'!$L$5:$L$28,B15)</f>
        <v>385</v>
      </c>
      <c r="D15" s="41" t="n">
        <f aca="false">SUMIFS('Prize Details'!$M$5:$M$28,'Prize Details'!$L$5:$L$28,B15)</f>
        <v>385</v>
      </c>
      <c r="E15" s="42" t="s">
        <v>1210</v>
      </c>
      <c r="H15" s="44" t="str">
        <f aca="false">Hackathons!B5</f>
        <v>Fintech Festival Hackathon 2016</v>
      </c>
      <c r="I15" s="44" t="str">
        <f aca="false">Hackathons!AA5</f>
        <v>SmartWatch</v>
      </c>
      <c r="J15" s="45" t="n">
        <f aca="false">IF(Hackathons!AB5="","",Hackathons!AB5)</f>
        <v>0</v>
      </c>
    </row>
    <row r="16" customFormat="false" ht="31" hidden="false" customHeight="true" outlineLevel="0" collapsed="false">
      <c r="A16" s="40" t="s">
        <v>1214</v>
      </c>
      <c r="B16" s="40" t="s">
        <v>83</v>
      </c>
      <c r="C16" s="41" t="n">
        <f aca="false">SUMIFS('Prize Details'!$O$5:$O$28,'Prize Details'!$P$5:$P$28,B16)</f>
        <v>156</v>
      </c>
      <c r="D16" s="41" t="n">
        <f aca="false">SUMIFS('Prize Details'!$Q$5:$Q$28,'Prize Details'!$P$5:$P$28,B16)</f>
        <v>39</v>
      </c>
      <c r="E16" s="42" t="s">
        <v>1215</v>
      </c>
      <c r="H16" s="44" t="str">
        <f aca="false">Hackathons!B41</f>
        <v>Sarawak AI Hackathon 2025</v>
      </c>
      <c r="I16" s="44" t="str">
        <f aca="false">Hackathons!AA41</f>
        <v>Trophy</v>
      </c>
      <c r="J16" s="45" t="n">
        <f aca="false">IF(Hackathons!AB41="","",Hackathons!AB41)</f>
        <v>1</v>
      </c>
    </row>
    <row r="17" customFormat="false" ht="31" hidden="false" customHeight="true" outlineLevel="0" collapsed="false">
      <c r="A17" s="40" t="s">
        <v>1216</v>
      </c>
      <c r="B17" s="40" t="s">
        <v>48</v>
      </c>
      <c r="C17" s="41" t="n">
        <f aca="false">SUMIFS('Prize Details'!$R$5:$R$28,'Prize Details'!$S$5:$S$28,B17)</f>
        <v>18000</v>
      </c>
      <c r="D17" s="41" t="n">
        <f aca="false">SUMIFS('Prize Details'!$T$5:$T$28,'Prize Details'!$S$5:$S$28,B17)</f>
        <v>3600</v>
      </c>
      <c r="E17" s="42" t="s">
        <v>1217</v>
      </c>
      <c r="H17" s="44" t="str">
        <f aca="false">Hackathons!B62</f>
        <v>Vercel Zero to Agent: Singapore (1 Hr Hackathon) 2026</v>
      </c>
      <c r="I17" s="44" t="str">
        <f aca="false">Hackathons!AA62</f>
        <v>v0 Sock</v>
      </c>
      <c r="J17" s="45" t="n">
        <f aca="false">IF(Hackathons!AB62="","",Hackathons!AB62)</f>
        <v>0</v>
      </c>
    </row>
    <row r="18" customFormat="false" ht="31" hidden="false" customHeight="true" outlineLevel="0" collapsed="false">
      <c r="E18" s="46"/>
      <c r="F18" s="46"/>
      <c r="G18" s="46"/>
      <c r="H18" s="44" t="str">
        <f aca="false">Hackathons!B80</f>
        <v>SG × SWK Friendship AI Business Design Hackathon</v>
      </c>
      <c r="I18" s="44" t="str">
        <f aca="false">Hackathons!AA80</f>
        <v>Trophy</v>
      </c>
      <c r="J18" s="45" t="n">
        <f aca="false">IF(Hackathons!AB80="","",Hackathons!AB80)</f>
        <v>1</v>
      </c>
    </row>
    <row r="19" customFormat="false" ht="22" hidden="false" customHeight="true" outlineLevel="0" collapsed="false">
      <c r="H19" s="47" t="s">
        <v>1218</v>
      </c>
      <c r="I19" s="47"/>
      <c r="J19" s="47"/>
      <c r="K19" s="47"/>
      <c r="L19" s="47"/>
    </row>
    <row r="20" customFormat="false" ht="22" hidden="false" customHeight="true" outlineLevel="0" collapsed="false">
      <c r="A20" s="48" t="s">
        <v>1219</v>
      </c>
      <c r="B20" s="48" t="s">
        <v>1201</v>
      </c>
      <c r="C20" s="48" t="s">
        <v>1220</v>
      </c>
      <c r="D20" s="48" t="s">
        <v>1221</v>
      </c>
      <c r="E20" s="49"/>
      <c r="H20" s="49" t="s">
        <v>1222</v>
      </c>
      <c r="I20" s="49"/>
      <c r="J20" s="49"/>
      <c r="K20" s="49"/>
      <c r="L20" s="49"/>
    </row>
    <row r="21" customFormat="false" ht="24" hidden="false" customHeight="true" outlineLevel="0" collapsed="false">
      <c r="A21" s="50" t="s">
        <v>1223</v>
      </c>
      <c r="B21" s="50" t="s">
        <v>48</v>
      </c>
      <c r="C21" s="34" t="n">
        <f aca="false">SUMIFS('Prize Details'!$H$5:$H$28,'Prize Details'!$I$5:$I$28,B21,'Prize Details'!$X$5:$X$28,"Yes")+SUMIFS('Prize Details'!$K$5:$K$28,'Prize Details'!$L$5:$L$28,B21)+SUMIFS('Prize Details'!$O$5:$O$28,'Prize Details'!$P$5:$P$28,B21)+SUMIFS('Prize Details'!$R$5:$R$28,'Prize Details'!$S$5:$S$28,B21)</f>
        <v>21235</v>
      </c>
      <c r="D21" s="50" t="s">
        <v>1224</v>
      </c>
      <c r="E21" s="50"/>
      <c r="H21" s="33" t="s">
        <v>1225</v>
      </c>
      <c r="I21" s="33"/>
      <c r="J21" s="33" t="s">
        <v>48</v>
      </c>
      <c r="K21" s="34" t="n">
        <f aca="false">SUMIFS('Prize Details'!$J$5:$J$28,'Prize Details'!$I$5:$I$28,J21)+SUMIFS('Prize Details'!$M$5:$M$28,'Prize Details'!$L$5:$L$28,J21)+SUMIFS('Prize Details'!$Q$5:$Q$28,'Prize Details'!$P$5:$P$28,J21)+SUMIFS('Prize Details'!$T$5:$T$28,'Prize Details'!$S$5:$S$28,J21)</f>
        <v>5043.33333333333</v>
      </c>
      <c r="L21" s="34"/>
    </row>
    <row r="22" customFormat="false" ht="24" hidden="false" customHeight="true" outlineLevel="0" collapsed="false">
      <c r="A22" s="50" t="s">
        <v>1223</v>
      </c>
      <c r="B22" s="50" t="s">
        <v>83</v>
      </c>
      <c r="C22" s="34" t="n">
        <f aca="false">SUMIFS('Prize Details'!$H$5:$H$28,'Prize Details'!$I$5:$I$28,B22,'Prize Details'!$X$5:$X$28,"Yes")+SUMIFS('Prize Details'!$K$5:$K$28,'Prize Details'!$L$5:$L$28,B22)+SUMIFS('Prize Details'!$O$5:$O$28,'Prize Details'!$P$5:$P$28,B22)+SUMIFS('Prize Details'!$R$5:$R$28,'Prize Details'!$S$5:$S$28,B22)</f>
        <v>131556</v>
      </c>
      <c r="D22" s="50" t="s">
        <v>1224</v>
      </c>
      <c r="E22" s="50"/>
      <c r="H22" s="33"/>
      <c r="I22" s="33"/>
      <c r="J22" s="33" t="s">
        <v>83</v>
      </c>
      <c r="K22" s="34" t="n">
        <f aca="false">SUMIFS('Prize Details'!$J$5:$J$28,'Prize Details'!$I$5:$I$28,J22)+SUMIFS('Prize Details'!$M$5:$M$28,'Prize Details'!$L$5:$L$28,J22)+SUMIFS('Prize Details'!$Q$5:$Q$28,'Prize Details'!$P$5:$P$28,J22)+SUMIFS('Prize Details'!$T$5:$T$28,'Prize Details'!$S$5:$S$28,J22)</f>
        <v>41597.3333333333</v>
      </c>
      <c r="L22" s="34"/>
    </row>
    <row r="23" customFormat="false" ht="25" hidden="false" customHeight="true" outlineLevel="0" collapsed="false">
      <c r="A23" s="36" t="s">
        <v>1226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5" customFormat="false" ht="20" hidden="false" customHeight="true" outlineLevel="0" collapsed="false">
      <c r="A25" s="51" t="s">
        <v>1227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</row>
    <row r="26" customFormat="false" ht="42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</row>
    <row r="27" customFormat="false" ht="15" hidden="false" customHeight="fals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</row>
    <row r="28" customFormat="false" ht="15" hidden="false" customHeight="fals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</row>
    <row r="45" customFormat="false" ht="24" hidden="false" customHeight="true" outlineLevel="0" collapsed="false"/>
  </sheetData>
  <mergeCells count="33">
    <mergeCell ref="A1:L1"/>
    <mergeCell ref="A2:L2"/>
    <mergeCell ref="A4:F4"/>
    <mergeCell ref="H4:L4"/>
    <mergeCell ref="A5:B5"/>
    <mergeCell ref="C5:D5"/>
    <mergeCell ref="H5:I5"/>
    <mergeCell ref="J5:K5"/>
    <mergeCell ref="A6:B6"/>
    <mergeCell ref="C6:D6"/>
    <mergeCell ref="H6:I6"/>
    <mergeCell ref="J6:K6"/>
    <mergeCell ref="A7:B7"/>
    <mergeCell ref="C7:D7"/>
    <mergeCell ref="H7:I7"/>
    <mergeCell ref="J7:K7"/>
    <mergeCell ref="A8:F8"/>
    <mergeCell ref="H8:I8"/>
    <mergeCell ref="J8:K8"/>
    <mergeCell ref="A10:L10"/>
    <mergeCell ref="H11:L11"/>
    <mergeCell ref="H12:I12"/>
    <mergeCell ref="J12:L12"/>
    <mergeCell ref="H13:I13"/>
    <mergeCell ref="J13:L13"/>
    <mergeCell ref="H19:L19"/>
    <mergeCell ref="H20:L20"/>
    <mergeCell ref="H21:I22"/>
    <mergeCell ref="K21:L21"/>
    <mergeCell ref="K22:L22"/>
    <mergeCell ref="A23:L23"/>
    <mergeCell ref="A25:L25"/>
    <mergeCell ref="A26:L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24D"/>
    <pageSetUpPr fitToPage="false"/>
  </sheetPr>
  <dimension ref="A1:Y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7265625" defaultRowHeight="15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32.97"/>
    <col collapsed="false" customWidth="true" hidden="false" outlineLevel="0" max="3" min="3" style="0" width="57.15"/>
    <col collapsed="false" customWidth="true" hidden="false" outlineLevel="0" max="4" min="4" style="0" width="21.98"/>
    <col collapsed="false" customWidth="true" hidden="false" outlineLevel="0" max="5" min="5" style="0" width="32.97"/>
    <col collapsed="false" customWidth="true" hidden="false" outlineLevel="0" max="6" min="6" style="0" width="19.79"/>
    <col collapsed="false" customWidth="true" hidden="false" outlineLevel="0" max="7" min="7" style="0" width="21.98"/>
    <col collapsed="false" customWidth="true" hidden="false" outlineLevel="0" max="8" min="8" style="0" width="17.59"/>
    <col collapsed="false" customWidth="true" hidden="false" outlineLevel="0" max="9" min="9" style="0" width="15.39"/>
    <col collapsed="false" customWidth="true" hidden="false" outlineLevel="0" max="10" min="10" style="0" width="19.79"/>
    <col collapsed="false" customWidth="true" hidden="false" outlineLevel="0" max="11" min="11" style="0" width="17.59"/>
    <col collapsed="false" customWidth="true" hidden="false" outlineLevel="0" max="12" min="12" style="0" width="21.98"/>
    <col collapsed="false" customWidth="true" hidden="false" outlineLevel="0" max="14" min="13" style="0" width="19.79"/>
    <col collapsed="false" customWidth="true" hidden="false" outlineLevel="0" max="15" min="15" style="0" width="21.98"/>
    <col collapsed="false" customWidth="true" hidden="false" outlineLevel="0" max="16" min="16" style="0" width="19.79"/>
    <col collapsed="false" customWidth="true" hidden="false" outlineLevel="0" max="17" min="17" style="0" width="24.18"/>
    <col collapsed="false" customWidth="true" hidden="false" outlineLevel="0" max="18" min="18" style="0" width="17.59"/>
    <col collapsed="false" customWidth="true" hidden="false" outlineLevel="0" max="20" min="19" style="0" width="19.79"/>
    <col collapsed="false" customWidth="true" hidden="false" outlineLevel="0" max="21" min="21" style="0" width="35.17"/>
    <col collapsed="false" customWidth="true" hidden="false" outlineLevel="0" max="22" min="22" style="0" width="21.98"/>
    <col collapsed="false" customWidth="true" hidden="false" outlineLevel="0" max="23" min="23" style="0" width="15.39"/>
    <col collapsed="false" customWidth="true" hidden="false" outlineLevel="0" max="24" min="24" style="0" width="17.59"/>
    <col collapsed="false" customWidth="true" hidden="false" outlineLevel="0" max="25" min="25" style="0" width="35.17"/>
  </cols>
  <sheetData>
    <row r="1" customFormat="false" ht="32" hidden="false" customHeight="true" outlineLevel="0" collapsed="false">
      <c r="A1" s="53" t="s">
        <v>1228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customFormat="false" ht="28" hidden="false" customHeight="true" outlineLevel="0" collapsed="false">
      <c r="A2" s="54" t="s">
        <v>1229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 customFormat="false" ht="17.35" hidden="false" customHeight="false" outlineLevel="0" collapsed="false">
      <c r="A3" s="33" t="s">
        <v>1230</v>
      </c>
      <c r="B3" s="33"/>
      <c r="C3" s="33"/>
      <c r="D3" s="55" t="n">
        <f aca="false">COUNTA(A5:A28)</f>
        <v>24</v>
      </c>
      <c r="E3" s="55"/>
      <c r="F3" s="33" t="s">
        <v>1231</v>
      </c>
      <c r="G3" s="33"/>
      <c r="H3" s="33"/>
      <c r="I3" s="56" t="n">
        <f aca="false">SUMIFS(Hackathons!$S$2:$S$82,Hackathons!$T$2:$T$82,"SGD",Hackathons!$AE$2:$AE$82,"Yes")</f>
        <v>2750</v>
      </c>
      <c r="J3" s="56"/>
      <c r="L3" s="33" t="s">
        <v>1232</v>
      </c>
      <c r="M3" s="33"/>
      <c r="N3" s="33"/>
      <c r="O3" s="56" t="n">
        <f aca="false">SUMIFS(Hackathons!$S$2:$S$82,Hackathons!$T$2:$T$82,"USD",Hackathons!$AE$2:$AE$82,"Yes")</f>
        <v>0</v>
      </c>
      <c r="P3" s="56"/>
    </row>
    <row r="4" customFormat="false" ht="32" hidden="false" customHeight="true" outlineLevel="0" collapsed="false">
      <c r="A4" s="3" t="s">
        <v>0</v>
      </c>
      <c r="B4" s="3" t="s">
        <v>1211</v>
      </c>
      <c r="C4" s="3" t="s">
        <v>32</v>
      </c>
      <c r="D4" s="3" t="s">
        <v>16</v>
      </c>
      <c r="E4" s="3" t="s">
        <v>17</v>
      </c>
      <c r="F4" s="3" t="s">
        <v>33</v>
      </c>
      <c r="G4" s="3" t="s">
        <v>34</v>
      </c>
      <c r="H4" s="3" t="s">
        <v>1233</v>
      </c>
      <c r="I4" s="3" t="s">
        <v>1234</v>
      </c>
      <c r="J4" s="3" t="s">
        <v>1235</v>
      </c>
      <c r="K4" s="3" t="s">
        <v>1236</v>
      </c>
      <c r="L4" s="3" t="s">
        <v>21</v>
      </c>
      <c r="M4" s="3" t="s">
        <v>1237</v>
      </c>
      <c r="N4" s="3" t="s">
        <v>1238</v>
      </c>
      <c r="O4" s="3" t="s">
        <v>1239</v>
      </c>
      <c r="P4" s="3" t="s">
        <v>24</v>
      </c>
      <c r="Q4" s="3" t="s">
        <v>1240</v>
      </c>
      <c r="R4" s="3" t="s">
        <v>1241</v>
      </c>
      <c r="S4" s="3" t="s">
        <v>29</v>
      </c>
      <c r="T4" s="3" t="s">
        <v>1242</v>
      </c>
      <c r="U4" s="3" t="s">
        <v>25</v>
      </c>
      <c r="V4" s="3" t="s">
        <v>26</v>
      </c>
      <c r="W4" s="3" t="s">
        <v>27</v>
      </c>
      <c r="X4" s="3" t="s">
        <v>1243</v>
      </c>
      <c r="Y4" s="3" t="s">
        <v>31</v>
      </c>
    </row>
    <row r="5" customFormat="false" ht="15" hidden="false" customHeight="false" outlineLevel="0" collapsed="false">
      <c r="A5" s="3" t="n">
        <f aca="false">Hackathons!A2</f>
        <v>1</v>
      </c>
      <c r="B5" s="3" t="str">
        <f aca="false">Hackathons!B2</f>
        <v>Education Technology Hackathon</v>
      </c>
      <c r="C5" s="3" t="str">
        <f aca="false">Hackathons!AG2</f>
        <v>1st Place — S$18,000 Seed Funding</v>
      </c>
      <c r="D5" s="3" t="str">
        <f aca="false">IF(Hackathons!Q2="","",Hackathons!Q2)</f>
        <v>1st Place</v>
      </c>
      <c r="E5" s="3" t="str">
        <f aca="false">IF(Hackathons!R2="","",Hackathons!R2)</f>
        <v/>
      </c>
      <c r="F5" s="6" t="n">
        <f aca="false">IF(Hackathons!AH2="","",Hackathons!AH2)</f>
        <v>5</v>
      </c>
      <c r="G5" s="3" t="str">
        <f aca="false">IF(Hackathons!AI2="","",Hackathons!AI2)</f>
        <v>Per Team</v>
      </c>
      <c r="H5" s="7" t="str">
        <f aca="false">IF(Hackathons!S2="","",IF(G5="Per Team Member",Hackathons!S2*F5,Hackathons!S2))</f>
        <v/>
      </c>
      <c r="I5" s="3" t="str">
        <f aca="false">IF(Hackathons!T2="","",Hackathons!T2)</f>
        <v/>
      </c>
      <c r="J5" s="57" t="str">
        <f aca="false">IF(OR(H5="",F5=""),"",H5/F5)</f>
        <v/>
      </c>
      <c r="K5" s="7" t="str">
        <f aca="false">IF(Hackathons!U2="","",IF(G5="Per Team Member",Hackathons!U2*F5,Hackathons!U2))</f>
        <v/>
      </c>
      <c r="L5" s="3" t="str">
        <f aca="false">IF(Hackathons!V2="","",Hackathons!V2)</f>
        <v/>
      </c>
      <c r="M5" s="57" t="str">
        <f aca="false">IF(OR(K5="",F5=""),"",K5/F5)</f>
        <v/>
      </c>
      <c r="N5" s="6" t="str">
        <f aca="false">IF(Hackathons!W2="","",IF(G5="Per Team Member",Hackathons!W2*F5,Hackathons!W2))</f>
        <v/>
      </c>
      <c r="O5" s="7" t="str">
        <f aca="false">IF(Hackathons!X2="","",IF(G5="Per Team Member",Hackathons!X2*F5,Hackathons!X2))</f>
        <v/>
      </c>
      <c r="P5" s="3" t="str">
        <f aca="false">IF(Hackathons!Y2="","",Hackathons!Y2)</f>
        <v/>
      </c>
      <c r="Q5" s="57" t="str">
        <f aca="false">IF(OR(O5="",F5=""),"",O5/F5)</f>
        <v/>
      </c>
      <c r="R5" s="7" t="n">
        <f aca="false">IF(Hackathons!AC2="","",IF(G5="Per Team Member",Hackathons!AC2*F5,Hackathons!AC2))</f>
        <v>18000</v>
      </c>
      <c r="S5" s="3" t="str">
        <f aca="false">IF(Hackathons!AD2="","",Hackathons!AD2)</f>
        <v>SGD</v>
      </c>
      <c r="T5" s="57" t="n">
        <f aca="false">IF(OR(R5="",F5="",F5=0),"",R5/F5)</f>
        <v>3600</v>
      </c>
      <c r="U5" s="3" t="str">
        <f aca="false">IF(Hackathons!Z2="","",Hackathons!Z2)</f>
        <v/>
      </c>
      <c r="V5" s="3" t="str">
        <f aca="false">IF(Hackathons!AA2="","",Hackathons!AA2)</f>
        <v/>
      </c>
      <c r="W5" s="6" t="str">
        <f aca="false">IF(Hackathons!AB2="","",Hackathons!AB2)</f>
        <v/>
      </c>
      <c r="X5" s="3" t="str">
        <f aca="false">IF(Hackathons!AE2="","",Hackathons!AE2)</f>
        <v>Exclude</v>
      </c>
      <c r="Y5" s="3" t="str">
        <f aca="false">IF(Hackathons!AF2="","",Hackathons!AF2)</f>
        <v>Funding, not a cash prize</v>
      </c>
    </row>
    <row r="6" customFormat="false" ht="15" hidden="false" customHeight="false" outlineLevel="0" collapsed="false">
      <c r="A6" s="3" t="n">
        <f aca="false">Hackathons!A4</f>
        <v>3</v>
      </c>
      <c r="B6" s="3" t="str">
        <f aca="false">Hackathons!B4</f>
        <v>DataDriven Hackathon 2016</v>
      </c>
      <c r="C6" s="3" t="str">
        <f aca="false">Hackathons!AG4</f>
        <v>Best Project</v>
      </c>
      <c r="D6" s="3" t="str">
        <f aca="false">IF(Hackathons!Q4="","",Hackathons!Q4)</f>
        <v>Best Project</v>
      </c>
      <c r="E6" s="3" t="str">
        <f aca="false">IF(Hackathons!R4="","",Hackathons!R4)</f>
        <v>Rated best project</v>
      </c>
      <c r="F6" s="6" t="n">
        <f aca="false">IF(Hackathons!AH4="","",Hackathons!AH4)</f>
        <v>6</v>
      </c>
      <c r="G6" s="3" t="str">
        <f aca="false">IF(Hackathons!AI4="","",Hackathons!AI4)</f>
        <v>Per Team</v>
      </c>
      <c r="H6" s="7" t="str">
        <f aca="false">IF(Hackathons!S4="","",IF(G6="Per Team Member",Hackathons!S4*F6,Hackathons!S4))</f>
        <v/>
      </c>
      <c r="I6" s="3" t="str">
        <f aca="false">IF(Hackathons!T4="","",Hackathons!T4)</f>
        <v/>
      </c>
      <c r="J6" s="57" t="str">
        <f aca="false">IF(OR(H6="",F6=""),"",H6/F6)</f>
        <v/>
      </c>
      <c r="K6" s="7" t="str">
        <f aca="false">IF(Hackathons!U4="","",IF(G6="Per Team Member",Hackathons!U4*F6,Hackathons!U4))</f>
        <v/>
      </c>
      <c r="L6" s="3" t="str">
        <f aca="false">IF(Hackathons!V4="","",Hackathons!V4)</f>
        <v/>
      </c>
      <c r="M6" s="57" t="str">
        <f aca="false">IF(OR(K6="",F6=""),"",K6/F6)</f>
        <v/>
      </c>
      <c r="N6" s="6" t="str">
        <f aca="false">IF(Hackathons!W4="","",IF(G6="Per Team Member",Hackathons!W4*F6,Hackathons!W4))</f>
        <v/>
      </c>
      <c r="O6" s="7" t="str">
        <f aca="false">IF(Hackathons!X4="","",IF(G6="Per Team Member",Hackathons!X4*F6,Hackathons!X4))</f>
        <v/>
      </c>
      <c r="P6" s="3" t="str">
        <f aca="false">IF(Hackathons!Y4="","",Hackathons!Y4)</f>
        <v/>
      </c>
      <c r="Q6" s="57" t="str">
        <f aca="false">IF(OR(O6="",F6=""),"",O6/F6)</f>
        <v/>
      </c>
      <c r="R6" s="7" t="str">
        <f aca="false">IF(Hackathons!AC4="","",IF(G6="Per Team Member",Hackathons!AC4*F6,Hackathons!AC4))</f>
        <v/>
      </c>
      <c r="S6" s="3" t="str">
        <f aca="false">IF(Hackathons!AD4="","",Hackathons!AD4)</f>
        <v/>
      </c>
      <c r="T6" s="57" t="str">
        <f aca="false">IF(OR(R6="",F6="",F6=0),"",R6/F6)</f>
        <v/>
      </c>
      <c r="U6" s="3" t="str">
        <f aca="false">IF(Hackathons!Z4="","",Hackathons!Z4)</f>
        <v/>
      </c>
      <c r="V6" s="3" t="str">
        <f aca="false">IF(Hackathons!AA4="","",Hackathons!AA4)</f>
        <v/>
      </c>
      <c r="W6" s="6" t="str">
        <f aca="false">IF(Hackathons!AB4="","",Hackathons!AB4)</f>
        <v/>
      </c>
      <c r="X6" s="3" t="str">
        <f aca="false">IF(Hackathons!AE4="","",Hackathons!AE4)</f>
        <v>Exclude</v>
      </c>
      <c r="Y6" s="3" t="str">
        <f aca="false">IF(Hackathons!AF4="","",Hackathons!AF4)</f>
        <v>Recognition only</v>
      </c>
    </row>
    <row r="7" customFormat="false" ht="25.35" hidden="false" customHeight="false" outlineLevel="0" collapsed="false">
      <c r="A7" s="3" t="n">
        <f aca="false">Hackathons!A5</f>
        <v>4</v>
      </c>
      <c r="B7" s="3" t="str">
        <f aca="false">Hackathons!B5</f>
        <v>Fintech Festival Hackathon 2016</v>
      </c>
      <c r="C7" s="3" t="str">
        <f aca="false">Hackathons!AG5</f>
        <v>1st Place — Best Use of IBM Bluemix — US$100,000 IBM Bluemix Credits — SmartWatch</v>
      </c>
      <c r="D7" s="3" t="str">
        <f aca="false">IF(Hackathons!Q5="","",Hackathons!Q5)</f>
        <v>1st Place</v>
      </c>
      <c r="E7" s="3" t="str">
        <f aca="false">IF(Hackathons!R5="","",Hackathons!R5)</f>
        <v>Best Use of IBM Bluemix</v>
      </c>
      <c r="F7" s="6" t="n">
        <f aca="false">IF(Hackathons!AH5="","",Hackathons!AH5)</f>
        <v>4</v>
      </c>
      <c r="G7" s="3" t="str">
        <f aca="false">IF(Hackathons!AI5="","",Hackathons!AI5)</f>
        <v>Per Team</v>
      </c>
      <c r="H7" s="7" t="str">
        <f aca="false">IF(Hackathons!S5="","",IF(G7="Per Team Member",Hackathons!S5*F7,Hackathons!S5))</f>
        <v/>
      </c>
      <c r="I7" s="3" t="str">
        <f aca="false">IF(Hackathons!T5="","",Hackathons!T5)</f>
        <v/>
      </c>
      <c r="J7" s="57" t="str">
        <f aca="false">IF(OR(H7="",F7=""),"",H7/F7)</f>
        <v/>
      </c>
      <c r="K7" s="7" t="n">
        <f aca="false">IF(Hackathons!U5="","",IF(G7="Per Team Member",Hackathons!U5*F7,Hackathons!U5))</f>
        <v>100000</v>
      </c>
      <c r="L7" s="3" t="str">
        <f aca="false">IF(Hackathons!V5="","",Hackathons!V5)</f>
        <v>USD</v>
      </c>
      <c r="M7" s="57" t="n">
        <f aca="false">IF(OR(K7="",F7=""),"",K7/F7)</f>
        <v>25000</v>
      </c>
      <c r="N7" s="6" t="str">
        <f aca="false">IF(Hackathons!W5="","",IF(G7="Per Team Member",Hackathons!W5*F7,Hackathons!W5))</f>
        <v/>
      </c>
      <c r="O7" s="7" t="str">
        <f aca="false">IF(Hackathons!X5="","",IF(G7="Per Team Member",Hackathons!X5*F7,Hackathons!X5))</f>
        <v/>
      </c>
      <c r="P7" s="3" t="str">
        <f aca="false">IF(Hackathons!Y5="","",Hackathons!Y5)</f>
        <v/>
      </c>
      <c r="Q7" s="57" t="str">
        <f aca="false">IF(OR(O7="",F7=""),"",O7/F7)</f>
        <v/>
      </c>
      <c r="R7" s="7" t="str">
        <f aca="false">IF(Hackathons!AC5="","",IF(G7="Per Team Member",Hackathons!AC5*F7,Hackathons!AC5))</f>
        <v/>
      </c>
      <c r="S7" s="3" t="str">
        <f aca="false">IF(Hackathons!AD5="","",Hackathons!AD5)</f>
        <v/>
      </c>
      <c r="T7" s="57" t="str">
        <f aca="false">IF(OR(R7="",F7="",F7=0),"",R7/F7)</f>
        <v/>
      </c>
      <c r="U7" s="3" t="str">
        <f aca="false">IF(Hackathons!Z5="","",Hackathons!Z5)</f>
        <v>IBM Bluemix credits; SmartWatch</v>
      </c>
      <c r="V7" s="3" t="str">
        <f aca="false">IF(Hackathons!AA5="","",Hackathons!AA5)</f>
        <v>SmartWatch</v>
      </c>
      <c r="W7" s="6" t="n">
        <f aca="false">IF(Hackathons!AB5="","",Hackathons!AB5)</f>
        <v>0</v>
      </c>
      <c r="X7" s="3" t="str">
        <f aca="false">IF(Hackathons!AE5="","",Hackathons!AE5)</f>
        <v>Exclude</v>
      </c>
      <c r="Y7" s="3" t="str">
        <f aca="false">IF(Hackathons!AF5="","",Hackathons!AF5)</f>
        <v>US$100,000 IBM Bluemix credit value</v>
      </c>
    </row>
    <row r="8" customFormat="false" ht="15" hidden="false" customHeight="false" outlineLevel="0" collapsed="false">
      <c r="A8" s="3" t="n">
        <f aca="false">Hackathons!A11</f>
        <v>10</v>
      </c>
      <c r="B8" s="3" t="str">
        <f aca="false">Hackathons!B11</f>
        <v>DataDriven Hackathon 2017</v>
      </c>
      <c r="C8" s="3" t="str">
        <f aca="false">Hackathons!AG11</f>
        <v>Best Project</v>
      </c>
      <c r="D8" s="3" t="str">
        <f aca="false">IF(Hackathons!Q11="","",Hackathons!Q11)</f>
        <v>Best Project</v>
      </c>
      <c r="E8" s="3" t="str">
        <f aca="false">IF(Hackathons!R11="","",Hackathons!R11)</f>
        <v>Rated best project</v>
      </c>
      <c r="F8" s="6" t="n">
        <f aca="false">IF(Hackathons!AH11="","",Hackathons!AH11)</f>
        <v>3</v>
      </c>
      <c r="G8" s="3" t="str">
        <f aca="false">IF(Hackathons!AI11="","",Hackathons!AI11)</f>
        <v>Per Team</v>
      </c>
      <c r="H8" s="7" t="str">
        <f aca="false">IF(Hackathons!S11="","",IF(G8="Per Team Member",Hackathons!S11*F8,Hackathons!S11))</f>
        <v/>
      </c>
      <c r="I8" s="3" t="str">
        <f aca="false">IF(Hackathons!T11="","",Hackathons!T11)</f>
        <v/>
      </c>
      <c r="J8" s="57" t="str">
        <f aca="false">IF(OR(H8="",F8=""),"",H8/F8)</f>
        <v/>
      </c>
      <c r="K8" s="7" t="str">
        <f aca="false">IF(Hackathons!U11="","",IF(G8="Per Team Member",Hackathons!U11*F8,Hackathons!U11))</f>
        <v/>
      </c>
      <c r="L8" s="3" t="str">
        <f aca="false">IF(Hackathons!V11="","",Hackathons!V11)</f>
        <v/>
      </c>
      <c r="M8" s="57" t="str">
        <f aca="false">IF(OR(K8="",F8=""),"",K8/F8)</f>
        <v/>
      </c>
      <c r="N8" s="6" t="str">
        <f aca="false">IF(Hackathons!W11="","",IF(G8="Per Team Member",Hackathons!W11*F8,Hackathons!W11))</f>
        <v/>
      </c>
      <c r="O8" s="7" t="str">
        <f aca="false">IF(Hackathons!X11="","",IF(G8="Per Team Member",Hackathons!X11*F8,Hackathons!X11))</f>
        <v/>
      </c>
      <c r="P8" s="3" t="str">
        <f aca="false">IF(Hackathons!Y11="","",Hackathons!Y11)</f>
        <v/>
      </c>
      <c r="Q8" s="57" t="str">
        <f aca="false">IF(OR(O8="",F8=""),"",O8/F8)</f>
        <v/>
      </c>
      <c r="R8" s="7" t="str">
        <f aca="false">IF(Hackathons!AC11="","",IF(G8="Per Team Member",Hackathons!AC11*F8,Hackathons!AC11))</f>
        <v/>
      </c>
      <c r="S8" s="3" t="str">
        <f aca="false">IF(Hackathons!AD11="","",Hackathons!AD11)</f>
        <v/>
      </c>
      <c r="T8" s="57" t="str">
        <f aca="false">IF(OR(R8="",F8="",F8=0),"",R8/F8)</f>
        <v/>
      </c>
      <c r="U8" s="3" t="str">
        <f aca="false">IF(Hackathons!Z11="","",Hackathons!Z11)</f>
        <v/>
      </c>
      <c r="V8" s="3" t="str">
        <f aca="false">IF(Hackathons!AA11="","",Hackathons!AA11)</f>
        <v/>
      </c>
      <c r="W8" s="6" t="str">
        <f aca="false">IF(Hackathons!AB11="","",Hackathons!AB11)</f>
        <v/>
      </c>
      <c r="X8" s="3" t="str">
        <f aca="false">IF(Hackathons!AE11="","",Hackathons!AE11)</f>
        <v>Exclude</v>
      </c>
      <c r="Y8" s="3" t="str">
        <f aca="false">IF(Hackathons!AF11="","",Hackathons!AF11)</f>
        <v>Recognition only</v>
      </c>
    </row>
    <row r="9" customFormat="false" ht="15" hidden="false" customHeight="false" outlineLevel="0" collapsed="false">
      <c r="A9" s="3" t="n">
        <f aca="false">Hackathons!A15</f>
        <v>14</v>
      </c>
      <c r="B9" s="3" t="str">
        <f aca="false">Hackathons!B15</f>
        <v>#SPSEC SP Hackathon 2018</v>
      </c>
      <c r="C9" s="3" t="str">
        <f aca="false">Hackathons!AG15</f>
        <v>3rd Place — S$100 Capitaland Voucher Each</v>
      </c>
      <c r="D9" s="3" t="str">
        <f aca="false">IF(Hackathons!Q15="","",Hackathons!Q15)</f>
        <v>3rd Place</v>
      </c>
      <c r="E9" s="3" t="str">
        <f aca="false">IF(Hackathons!R15="","",Hackathons!R15)</f>
        <v/>
      </c>
      <c r="F9" s="6" t="n">
        <f aca="false">IF(Hackathons!AH15="","",Hackathons!AH15)</f>
        <v>2</v>
      </c>
      <c r="G9" s="3" t="str">
        <f aca="false">IF(Hackathons!AI15="","",Hackathons!AI15)</f>
        <v>Per Team Member</v>
      </c>
      <c r="H9" s="7" t="n">
        <f aca="false">IF(Hackathons!S15="","",IF(G9="Per Team Member",Hackathons!S15*F9,Hackathons!S15))</f>
        <v>200</v>
      </c>
      <c r="I9" s="3" t="str">
        <f aca="false">IF(Hackathons!T15="","",Hackathons!T15)</f>
        <v>SGD</v>
      </c>
      <c r="J9" s="57" t="n">
        <f aca="false">IF(OR(H9="",F9=""),"",H9/F9)</f>
        <v>100</v>
      </c>
      <c r="K9" s="7" t="str">
        <f aca="false">IF(Hackathons!U15="","",IF(G9="Per Team Member",Hackathons!U15*F9,Hackathons!U15))</f>
        <v/>
      </c>
      <c r="L9" s="3" t="str">
        <f aca="false">IF(Hackathons!V15="","",Hackathons!V15)</f>
        <v/>
      </c>
      <c r="M9" s="57" t="str">
        <f aca="false">IF(OR(K9="",F9=""),"",K9/F9)</f>
        <v/>
      </c>
      <c r="N9" s="6" t="str">
        <f aca="false">IF(Hackathons!W15="","",IF(G9="Per Team Member",Hackathons!W15*F9,Hackathons!W15))</f>
        <v/>
      </c>
      <c r="O9" s="7" t="str">
        <f aca="false">IF(Hackathons!X15="","",IF(G9="Per Team Member",Hackathons!X15*F9,Hackathons!X15))</f>
        <v/>
      </c>
      <c r="P9" s="3" t="str">
        <f aca="false">IF(Hackathons!Y15="","",Hackathons!Y15)</f>
        <v/>
      </c>
      <c r="Q9" s="57" t="str">
        <f aca="false">IF(OR(O9="",F9=""),"",O9/F9)</f>
        <v/>
      </c>
      <c r="R9" s="7" t="str">
        <f aca="false">IF(Hackathons!AC15="","",IF(G9="Per Team Member",Hackathons!AC15*F9,Hackathons!AC15))</f>
        <v/>
      </c>
      <c r="S9" s="3" t="str">
        <f aca="false">IF(Hackathons!AD15="","",Hackathons!AD15)</f>
        <v/>
      </c>
      <c r="T9" s="57" t="str">
        <f aca="false">IF(OR(R9="",F9="",F9=0),"",R9/F9)</f>
        <v/>
      </c>
      <c r="U9" s="3" t="str">
        <f aca="false">IF(Hackathons!Z15="","",Hackathons!Z15)</f>
        <v>S$100 Capitaland voucher</v>
      </c>
      <c r="V9" s="3" t="str">
        <f aca="false">IF(Hackathons!AA15="","",Hackathons!AA15)</f>
        <v/>
      </c>
      <c r="W9" s="6" t="str">
        <f aca="false">IF(Hackathons!AB15="","",Hackathons!AB15)</f>
        <v/>
      </c>
      <c r="X9" s="3" t="str">
        <f aca="false">IF(Hackathons!AE15="","",Hackathons!AE15)</f>
        <v>Yes</v>
      </c>
      <c r="Y9" s="3" t="str">
        <f aca="false">IF(Hackathons!AF15="","",Hackathons!AF15)</f>
        <v>Voucher counted as cash equivalent</v>
      </c>
    </row>
    <row r="10" customFormat="false" ht="15" hidden="false" customHeight="false" outlineLevel="0" collapsed="false">
      <c r="A10" s="3" t="n">
        <f aca="false">Hackathons!A18</f>
        <v>17</v>
      </c>
      <c r="B10" s="3" t="str">
        <f aca="false">Hackathons!B18</f>
        <v>#Mosque-Tech Challenge 2018</v>
      </c>
      <c r="C10" s="3" t="str">
        <f aca="false">Hackathons!AG18</f>
        <v>2nd Place — S$600 Cash</v>
      </c>
      <c r="D10" s="3" t="str">
        <f aca="false">IF(Hackathons!Q18="","",Hackathons!Q18)</f>
        <v>2nd Place</v>
      </c>
      <c r="E10" s="3" t="str">
        <f aca="false">IF(Hackathons!R18="","",Hackathons!R18)</f>
        <v/>
      </c>
      <c r="F10" s="6" t="n">
        <f aca="false">IF(Hackathons!AH18="","",Hackathons!AH18)</f>
        <v>3</v>
      </c>
      <c r="G10" s="3" t="str">
        <f aca="false">IF(Hackathons!AI18="","",Hackathons!AI18)</f>
        <v>Per Team</v>
      </c>
      <c r="H10" s="7" t="n">
        <f aca="false">IF(Hackathons!S18="","",IF(G10="Per Team Member",Hackathons!S18*F10,Hackathons!S18))</f>
        <v>600</v>
      </c>
      <c r="I10" s="3" t="str">
        <f aca="false">IF(Hackathons!T18="","",Hackathons!T18)</f>
        <v>SGD</v>
      </c>
      <c r="J10" s="57" t="n">
        <f aca="false">IF(OR(H10="",F10=""),"",H10/F10)</f>
        <v>200</v>
      </c>
      <c r="K10" s="7" t="str">
        <f aca="false">IF(Hackathons!U18="","",IF(G10="Per Team Member",Hackathons!U18*F10,Hackathons!U18))</f>
        <v/>
      </c>
      <c r="L10" s="3" t="str">
        <f aca="false">IF(Hackathons!V18="","",Hackathons!V18)</f>
        <v/>
      </c>
      <c r="M10" s="57" t="str">
        <f aca="false">IF(OR(K10="",F10=""),"",K10/F10)</f>
        <v/>
      </c>
      <c r="N10" s="6" t="str">
        <f aca="false">IF(Hackathons!W18="","",IF(G10="Per Team Member",Hackathons!W18*F10,Hackathons!W18))</f>
        <v/>
      </c>
      <c r="O10" s="7" t="str">
        <f aca="false">IF(Hackathons!X18="","",IF(G10="Per Team Member",Hackathons!X18*F10,Hackathons!X18))</f>
        <v/>
      </c>
      <c r="P10" s="3" t="str">
        <f aca="false">IF(Hackathons!Y18="","",Hackathons!Y18)</f>
        <v/>
      </c>
      <c r="Q10" s="57" t="str">
        <f aca="false">IF(OR(O10="",F10=""),"",O10/F10)</f>
        <v/>
      </c>
      <c r="R10" s="7" t="str">
        <f aca="false">IF(Hackathons!AC18="","",IF(G10="Per Team Member",Hackathons!AC18*F10,Hackathons!AC18))</f>
        <v/>
      </c>
      <c r="S10" s="3" t="str">
        <f aca="false">IF(Hackathons!AD18="","",Hackathons!AD18)</f>
        <v/>
      </c>
      <c r="T10" s="57" t="str">
        <f aca="false">IF(OR(R10="",F10="",F10=0),"",R10/F10)</f>
        <v/>
      </c>
      <c r="U10" s="3" t="str">
        <f aca="false">IF(Hackathons!Z18="","",Hackathons!Z18)</f>
        <v/>
      </c>
      <c r="V10" s="3" t="str">
        <f aca="false">IF(Hackathons!AA18="","",Hackathons!AA18)</f>
        <v/>
      </c>
      <c r="W10" s="6" t="str">
        <f aca="false">IF(Hackathons!AB18="","",Hackathons!AB18)</f>
        <v/>
      </c>
      <c r="X10" s="3" t="str">
        <f aca="false">IF(Hackathons!AE18="","",Hackathons!AE18)</f>
        <v>Yes</v>
      </c>
      <c r="Y10" s="3" t="str">
        <f aca="false">IF(Hackathons!AF18="","",Hackathons!AF18)</f>
        <v>Explicit cash</v>
      </c>
    </row>
    <row r="11" customFormat="false" ht="15" hidden="false" customHeight="false" outlineLevel="0" collapsed="false">
      <c r="A11" s="3" t="n">
        <f aca="false">Hackathons!A26</f>
        <v>25</v>
      </c>
      <c r="B11" s="3" t="str">
        <f aca="false">Hackathons!B26</f>
        <v>#Mosque Hackathon 2019</v>
      </c>
      <c r="C11" s="3" t="str">
        <f aca="false">Hackathons!AG26</f>
        <v>3rd Place — S$500 Cash</v>
      </c>
      <c r="D11" s="3" t="str">
        <f aca="false">IF(Hackathons!Q26="","",Hackathons!Q26)</f>
        <v>3rd Place</v>
      </c>
      <c r="E11" s="3" t="str">
        <f aca="false">IF(Hackathons!R26="","",Hackathons!R26)</f>
        <v/>
      </c>
      <c r="F11" s="6" t="n">
        <f aca="false">IF(Hackathons!AH26="","",Hackathons!AH26)</f>
        <v>6</v>
      </c>
      <c r="G11" s="3" t="str">
        <f aca="false">IF(Hackathons!AI26="","",Hackathons!AI26)</f>
        <v>Per Team</v>
      </c>
      <c r="H11" s="7" t="n">
        <f aca="false">IF(Hackathons!S26="","",IF(G11="Per Team Member",Hackathons!S26*F11,Hackathons!S26))</f>
        <v>500</v>
      </c>
      <c r="I11" s="3" t="str">
        <f aca="false">IF(Hackathons!T26="","",Hackathons!T26)</f>
        <v>SGD</v>
      </c>
      <c r="J11" s="57" t="n">
        <f aca="false">IF(OR(H11="",F11=""),"",H11/F11)</f>
        <v>83.3333333333333</v>
      </c>
      <c r="K11" s="7" t="str">
        <f aca="false">IF(Hackathons!U26="","",IF(G11="Per Team Member",Hackathons!U26*F11,Hackathons!U26))</f>
        <v/>
      </c>
      <c r="L11" s="3" t="str">
        <f aca="false">IF(Hackathons!V26="","",Hackathons!V26)</f>
        <v/>
      </c>
      <c r="M11" s="57" t="str">
        <f aca="false">IF(OR(K11="",F11=""),"",K11/F11)</f>
        <v/>
      </c>
      <c r="N11" s="6" t="str">
        <f aca="false">IF(Hackathons!W26="","",IF(G11="Per Team Member",Hackathons!W26*F11,Hackathons!W26))</f>
        <v/>
      </c>
      <c r="O11" s="7" t="str">
        <f aca="false">IF(Hackathons!X26="","",IF(G11="Per Team Member",Hackathons!X26*F11,Hackathons!X26))</f>
        <v/>
      </c>
      <c r="P11" s="3" t="str">
        <f aca="false">IF(Hackathons!Y26="","",Hackathons!Y26)</f>
        <v/>
      </c>
      <c r="Q11" s="57" t="str">
        <f aca="false">IF(OR(O11="",F11=""),"",O11/F11)</f>
        <v/>
      </c>
      <c r="R11" s="7" t="str">
        <f aca="false">IF(Hackathons!AC26="","",IF(G11="Per Team Member",Hackathons!AC26*F11,Hackathons!AC26))</f>
        <v/>
      </c>
      <c r="S11" s="3" t="str">
        <f aca="false">IF(Hackathons!AD26="","",Hackathons!AD26)</f>
        <v/>
      </c>
      <c r="T11" s="57" t="str">
        <f aca="false">IF(OR(R11="",F11="",F11=0),"",R11/F11)</f>
        <v/>
      </c>
      <c r="U11" s="3" t="str">
        <f aca="false">IF(Hackathons!Z26="","",Hackathons!Z26)</f>
        <v/>
      </c>
      <c r="V11" s="3" t="str">
        <f aca="false">IF(Hackathons!AA26="","",Hackathons!AA26)</f>
        <v/>
      </c>
      <c r="W11" s="6" t="str">
        <f aca="false">IF(Hackathons!AB26="","",Hackathons!AB26)</f>
        <v/>
      </c>
      <c r="X11" s="3" t="str">
        <f aca="false">IF(Hackathons!AE26="","",Hackathons!AE26)</f>
        <v>Yes</v>
      </c>
      <c r="Y11" s="3" t="str">
        <f aca="false">IF(Hackathons!AF26="","",Hackathons!AF26)</f>
        <v>Explicit cash</v>
      </c>
    </row>
    <row r="12" customFormat="false" ht="15" hidden="false" customHeight="false" outlineLevel="0" collapsed="false">
      <c r="A12" s="3" t="n">
        <f aca="false">Hackathons!A34</f>
        <v>33</v>
      </c>
      <c r="B12" s="3" t="str">
        <f aca="false">Hackathons!B34</f>
        <v>ICP Ideathon 2023</v>
      </c>
      <c r="C12" s="3" t="str">
        <f aca="false">Hackathons!AG34</f>
        <v>3rd Place — S$250 Cash</v>
      </c>
      <c r="D12" s="3" t="str">
        <f aca="false">IF(Hackathons!Q34="","",Hackathons!Q34)</f>
        <v>3rd Place</v>
      </c>
      <c r="E12" s="3" t="str">
        <f aca="false">IF(Hackathons!R34="","",Hackathons!R34)</f>
        <v/>
      </c>
      <c r="F12" s="6" t="n">
        <f aca="false">IF(Hackathons!AH34="","",Hackathons!AH34)</f>
        <v>2</v>
      </c>
      <c r="G12" s="3" t="str">
        <f aca="false">IF(Hackathons!AI34="","",Hackathons!AI34)</f>
        <v>Per Team</v>
      </c>
      <c r="H12" s="7" t="n">
        <f aca="false">IF(Hackathons!S34="","",IF(G12="Per Team Member",Hackathons!S34*F12,Hackathons!S34))</f>
        <v>250</v>
      </c>
      <c r="I12" s="3" t="str">
        <f aca="false">IF(Hackathons!T34="","",Hackathons!T34)</f>
        <v>SGD</v>
      </c>
      <c r="J12" s="57" t="n">
        <f aca="false">IF(OR(H12="",F12=""),"",H12/F12)</f>
        <v>125</v>
      </c>
      <c r="K12" s="7" t="str">
        <f aca="false">IF(Hackathons!U34="","",IF(G12="Per Team Member",Hackathons!U34*F12,Hackathons!U34))</f>
        <v/>
      </c>
      <c r="L12" s="3" t="str">
        <f aca="false">IF(Hackathons!V34="","",Hackathons!V34)</f>
        <v/>
      </c>
      <c r="M12" s="57" t="str">
        <f aca="false">IF(OR(K12="",F12=""),"",K12/F12)</f>
        <v/>
      </c>
      <c r="N12" s="6" t="str">
        <f aca="false">IF(Hackathons!W34="","",IF(G12="Per Team Member",Hackathons!W34*F12,Hackathons!W34))</f>
        <v/>
      </c>
      <c r="O12" s="7" t="str">
        <f aca="false">IF(Hackathons!X34="","",IF(G12="Per Team Member",Hackathons!X34*F12,Hackathons!X34))</f>
        <v/>
      </c>
      <c r="P12" s="3" t="str">
        <f aca="false">IF(Hackathons!Y34="","",Hackathons!Y34)</f>
        <v/>
      </c>
      <c r="Q12" s="57" t="str">
        <f aca="false">IF(OR(O12="",F12=""),"",O12/F12)</f>
        <v/>
      </c>
      <c r="R12" s="7" t="str">
        <f aca="false">IF(Hackathons!AC34="","",IF(G12="Per Team Member",Hackathons!AC34*F12,Hackathons!AC34))</f>
        <v/>
      </c>
      <c r="S12" s="3" t="str">
        <f aca="false">IF(Hackathons!AD34="","",Hackathons!AD34)</f>
        <v/>
      </c>
      <c r="T12" s="57" t="str">
        <f aca="false">IF(OR(R12="",F12="",F12=0),"",R12/F12)</f>
        <v/>
      </c>
      <c r="U12" s="3" t="str">
        <f aca="false">IF(Hackathons!Z34="","",Hackathons!Z34)</f>
        <v/>
      </c>
      <c r="V12" s="3" t="str">
        <f aca="false">IF(Hackathons!AA34="","",Hackathons!AA34)</f>
        <v/>
      </c>
      <c r="W12" s="6" t="str">
        <f aca="false">IF(Hackathons!AB34="","",Hackathons!AB34)</f>
        <v/>
      </c>
      <c r="X12" s="3" t="str">
        <f aca="false">IF(Hackathons!AE34="","",Hackathons!AE34)</f>
        <v>Yes</v>
      </c>
      <c r="Y12" s="3" t="str">
        <f aca="false">IF(Hackathons!AF34="","",Hackathons!AF34)</f>
        <v>Confirmed cash</v>
      </c>
    </row>
    <row r="13" customFormat="false" ht="15" hidden="false" customHeight="false" outlineLevel="0" collapsed="false">
      <c r="A13" s="3" t="n">
        <f aca="false">Hackathons!A36</f>
        <v>35</v>
      </c>
      <c r="B13" s="3" t="str">
        <f aca="false">Hackathons!B36</f>
        <v>Mosque Tech Challenge 2025</v>
      </c>
      <c r="C13" s="3" t="str">
        <f aca="false">Hackathons!AG36</f>
        <v>2nd Place — S$1,000 Cash</v>
      </c>
      <c r="D13" s="3" t="str">
        <f aca="false">IF(Hackathons!Q36="","",Hackathons!Q36)</f>
        <v>2nd Place</v>
      </c>
      <c r="E13" s="3" t="str">
        <f aca="false">IF(Hackathons!R36="","",Hackathons!R36)</f>
        <v/>
      </c>
      <c r="F13" s="6" t="n">
        <f aca="false">IF(Hackathons!AH36="","",Hackathons!AH36)</f>
        <v>4</v>
      </c>
      <c r="G13" s="3" t="str">
        <f aca="false">IF(Hackathons!AI36="","",Hackathons!AI36)</f>
        <v>Per Team</v>
      </c>
      <c r="H13" s="7" t="n">
        <f aca="false">IF(Hackathons!S36="","",IF(G13="Per Team Member",Hackathons!S36*F13,Hackathons!S36))</f>
        <v>1000</v>
      </c>
      <c r="I13" s="3" t="str">
        <f aca="false">IF(Hackathons!T36="","",Hackathons!T36)</f>
        <v>SGD</v>
      </c>
      <c r="J13" s="57" t="n">
        <f aca="false">IF(OR(H13="",F13=""),"",H13/F13)</f>
        <v>250</v>
      </c>
      <c r="K13" s="7" t="str">
        <f aca="false">IF(Hackathons!U36="","",IF(G13="Per Team Member",Hackathons!U36*F13,Hackathons!U36))</f>
        <v/>
      </c>
      <c r="L13" s="3" t="str">
        <f aca="false">IF(Hackathons!V36="","",Hackathons!V36)</f>
        <v/>
      </c>
      <c r="M13" s="57" t="str">
        <f aca="false">IF(OR(K13="",F13=""),"",K13/F13)</f>
        <v/>
      </c>
      <c r="N13" s="6" t="str">
        <f aca="false">IF(Hackathons!W36="","",IF(G13="Per Team Member",Hackathons!W36*F13,Hackathons!W36))</f>
        <v/>
      </c>
      <c r="O13" s="7" t="str">
        <f aca="false">IF(Hackathons!X36="","",IF(G13="Per Team Member",Hackathons!X36*F13,Hackathons!X36))</f>
        <v/>
      </c>
      <c r="P13" s="3" t="str">
        <f aca="false">IF(Hackathons!Y36="","",Hackathons!Y36)</f>
        <v/>
      </c>
      <c r="Q13" s="57" t="str">
        <f aca="false">IF(OR(O13="",F13=""),"",O13/F13)</f>
        <v/>
      </c>
      <c r="R13" s="7" t="str">
        <f aca="false">IF(Hackathons!AC36="","",IF(G13="Per Team Member",Hackathons!AC36*F13,Hackathons!AC36))</f>
        <v/>
      </c>
      <c r="S13" s="3" t="str">
        <f aca="false">IF(Hackathons!AD36="","",Hackathons!AD36)</f>
        <v/>
      </c>
      <c r="T13" s="57" t="str">
        <f aca="false">IF(OR(R13="",F13="",F13=0),"",R13/F13)</f>
        <v/>
      </c>
      <c r="U13" s="3" t="str">
        <f aca="false">IF(Hackathons!Z36="","",Hackathons!Z36)</f>
        <v/>
      </c>
      <c r="V13" s="3" t="str">
        <f aca="false">IF(Hackathons!AA36="","",Hackathons!AA36)</f>
        <v/>
      </c>
      <c r="W13" s="6" t="str">
        <f aca="false">IF(Hackathons!AB36="","",Hackathons!AB36)</f>
        <v/>
      </c>
      <c r="X13" s="3" t="str">
        <f aca="false">IF(Hackathons!AE36="","",Hackathons!AE36)</f>
        <v>Yes</v>
      </c>
      <c r="Y13" s="3" t="str">
        <f aca="false">IF(Hackathons!AF36="","",Hackathons!AF36)</f>
        <v>Confirmed cash</v>
      </c>
    </row>
    <row r="14" customFormat="false" ht="15" hidden="false" customHeight="false" outlineLevel="0" collapsed="false">
      <c r="A14" s="3" t="n">
        <f aca="false">Hackathons!A39</f>
        <v>38</v>
      </c>
      <c r="B14" s="3" t="str">
        <f aca="false">Hackathons!B39</f>
        <v>OOJU X Manus.AI Hackathon 2025</v>
      </c>
      <c r="C14" s="3" t="str">
        <f aca="false">Hackathons!AG39</f>
        <v>2nd Place — Manus Pro Subscription (US$39/month each)</v>
      </c>
      <c r="D14" s="3" t="str">
        <f aca="false">IF(Hackathons!Q39="","",Hackathons!Q39)</f>
        <v>2nd Prize</v>
      </c>
      <c r="E14" s="3" t="str">
        <f aca="false">IF(Hackathons!R39="","",Hackathons!R39)</f>
        <v/>
      </c>
      <c r="F14" s="6" t="n">
        <f aca="false">IF(Hackathons!AH39="","",Hackathons!AH39)</f>
        <v>4</v>
      </c>
      <c r="G14" s="3" t="str">
        <f aca="false">IF(Hackathons!AI39="","",Hackathons!AI39)</f>
        <v>Per Team Member</v>
      </c>
      <c r="H14" s="7" t="str">
        <f aca="false">IF(Hackathons!S39="","",IF(G14="Per Team Member",Hackathons!S39*F14,Hackathons!S39))</f>
        <v/>
      </c>
      <c r="I14" s="3" t="str">
        <f aca="false">IF(Hackathons!T39="","",Hackathons!T39)</f>
        <v/>
      </c>
      <c r="J14" s="57" t="str">
        <f aca="false">IF(OR(H14="",F14=""),"",H14/F14)</f>
        <v/>
      </c>
      <c r="K14" s="7" t="str">
        <f aca="false">IF(Hackathons!U39="","",IF(G14="Per Team Member",Hackathons!U39*F14,Hackathons!U39))</f>
        <v/>
      </c>
      <c r="L14" s="3" t="str">
        <f aca="false">IF(Hackathons!V39="","",Hackathons!V39)</f>
        <v/>
      </c>
      <c r="M14" s="57" t="str">
        <f aca="false">IF(OR(K14="",F14=""),"",K14/F14)</f>
        <v/>
      </c>
      <c r="N14" s="6" t="n">
        <f aca="false">IF(Hackathons!W39="","",IF(G14="Per Team Member",Hackathons!W39*F14,Hackathons!W39))</f>
        <v>4</v>
      </c>
      <c r="O14" s="7" t="n">
        <f aca="false">IF(Hackathons!X39="","",IF(G14="Per Team Member",Hackathons!X39*F14,Hackathons!X39))</f>
        <v>156</v>
      </c>
      <c r="P14" s="3" t="str">
        <f aca="false">IF(Hackathons!Y39="","",Hackathons!Y39)</f>
        <v>USD</v>
      </c>
      <c r="Q14" s="57" t="n">
        <f aca="false">IF(OR(O14="",F14=""),"",O14/F14)</f>
        <v>39</v>
      </c>
      <c r="R14" s="7" t="str">
        <f aca="false">IF(Hackathons!AC39="","",IF(G14="Per Team Member",Hackathons!AC39*F14,Hackathons!AC39))</f>
        <v/>
      </c>
      <c r="S14" s="3" t="str">
        <f aca="false">IF(Hackathons!AD39="","",Hackathons!AD39)</f>
        <v/>
      </c>
      <c r="T14" s="57" t="str">
        <f aca="false">IF(OR(R14="",F14="",F14=0),"",R14/F14)</f>
        <v/>
      </c>
      <c r="U14" s="3" t="str">
        <f aca="false">IF(Hackathons!Z39="","",Hackathons!Z39)</f>
        <v>Manus Pro subscription</v>
      </c>
      <c r="V14" s="3" t="str">
        <f aca="false">IF(Hackathons!AA39="","",Hackathons!AA39)</f>
        <v/>
      </c>
      <c r="W14" s="6" t="str">
        <f aca="false">IF(Hackathons!AB39="","",Hackathons!AB39)</f>
        <v/>
      </c>
      <c r="X14" s="3" t="str">
        <f aca="false">IF(Hackathons!AE39="","",Hackathons!AE39)</f>
        <v>Exclude</v>
      </c>
      <c r="Y14" s="3" t="str">
        <f aca="false">IF(Hackathons!AF39="","",Hackathons!AF39)</f>
        <v>US$39 monthly value at award period</v>
      </c>
    </row>
    <row r="15" customFormat="false" ht="25.35" hidden="false" customHeight="false" outlineLevel="0" collapsed="false">
      <c r="A15" s="3" t="n">
        <f aca="false">Hackathons!A41</f>
        <v>40</v>
      </c>
      <c r="B15" s="3" t="str">
        <f aca="false">Hackathons!B41</f>
        <v>Sarawak AI Hackathon 2025</v>
      </c>
      <c r="C15" s="3" t="str">
        <f aca="false">Hackathons!AG41</f>
        <v>Novel Hackathon Finisher — Trophy</v>
      </c>
      <c r="D15" s="3" t="str">
        <f aca="false">IF(Hackathons!Q41="","",Hackathons!Q41)</f>
        <v>Novel Hackathon Finisher</v>
      </c>
      <c r="E15" s="3" t="str">
        <f aca="false">IF(Hackathons!R41="","",Hackathons!R41)</f>
        <v/>
      </c>
      <c r="F15" s="6" t="n">
        <f aca="false">IF(Hackathons!AH41="","",Hackathons!AH41)</f>
        <v>2</v>
      </c>
      <c r="G15" s="3" t="str">
        <f aca="false">IF(Hackathons!AI41="","",Hackathons!AI41)</f>
        <v>Per Team</v>
      </c>
      <c r="H15" s="7" t="str">
        <f aca="false">IF(Hackathons!S41="","",IF(G15="Per Team Member",Hackathons!S41*F15,Hackathons!S41))</f>
        <v/>
      </c>
      <c r="I15" s="3" t="str">
        <f aca="false">IF(Hackathons!T41="","",Hackathons!T41)</f>
        <v/>
      </c>
      <c r="J15" s="57" t="str">
        <f aca="false">IF(OR(H15="",F15=""),"",H15/F15)</f>
        <v/>
      </c>
      <c r="K15" s="7" t="str">
        <f aca="false">IF(Hackathons!U41="","",IF(G15="Per Team Member",Hackathons!U41*F15,Hackathons!U41))</f>
        <v/>
      </c>
      <c r="L15" s="3" t="str">
        <f aca="false">IF(Hackathons!V41="","",Hackathons!V41)</f>
        <v/>
      </c>
      <c r="M15" s="57" t="str">
        <f aca="false">IF(OR(K15="",F15=""),"",K15/F15)</f>
        <v/>
      </c>
      <c r="N15" s="6" t="str">
        <f aca="false">IF(Hackathons!W41="","",IF(G15="Per Team Member",Hackathons!W41*F15,Hackathons!W41))</f>
        <v/>
      </c>
      <c r="O15" s="7" t="str">
        <f aca="false">IF(Hackathons!X41="","",IF(G15="Per Team Member",Hackathons!X41*F15,Hackathons!X41))</f>
        <v/>
      </c>
      <c r="P15" s="3" t="str">
        <f aca="false">IF(Hackathons!Y41="","",Hackathons!Y41)</f>
        <v/>
      </c>
      <c r="Q15" s="57" t="str">
        <f aca="false">IF(OR(O15="",F15=""),"",O15/F15)</f>
        <v/>
      </c>
      <c r="R15" s="7" t="str">
        <f aca="false">IF(Hackathons!AC41="","",IF(G15="Per Team Member",Hackathons!AC41*F15,Hackathons!AC41))</f>
        <v/>
      </c>
      <c r="S15" s="3" t="str">
        <f aca="false">IF(Hackathons!AD41="","",Hackathons!AD41)</f>
        <v/>
      </c>
      <c r="T15" s="57" t="str">
        <f aca="false">IF(OR(R15="",F15="",F15=0),"",R15/F15)</f>
        <v/>
      </c>
      <c r="U15" s="3" t="str">
        <f aca="false">IF(Hackathons!Z41="","",Hackathons!Z41)</f>
        <v>Trophy</v>
      </c>
      <c r="V15" s="3" t="str">
        <f aca="false">IF(Hackathons!AA41="","",Hackathons!AA41)</f>
        <v>Trophy</v>
      </c>
      <c r="W15" s="6" t="n">
        <f aca="false">IF(Hackathons!AB41="","",Hackathons!AB41)</f>
        <v>1</v>
      </c>
      <c r="X15" s="3" t="str">
        <f aca="false">IF(Hackathons!AE41="","",Hackathons!AE41)</f>
        <v>Exclude</v>
      </c>
      <c r="Y15" s="3" t="str">
        <f aca="false">IF(Hackathons!AF41="","",Hackathons!AF41)</f>
        <v>Trophy, not cash</v>
      </c>
    </row>
    <row r="16" customFormat="false" ht="15" hidden="false" customHeight="false" outlineLevel="0" collapsed="false">
      <c r="A16" s="3" t="n">
        <f aca="false">Hackathons!A43</f>
        <v>42</v>
      </c>
      <c r="B16" s="3" t="str">
        <f aca="false">Hackathons!B43</f>
        <v>Nosana Hackathon 2025</v>
      </c>
      <c r="C16" s="3" t="str">
        <f aca="false">Hackathons!AG43</f>
        <v>1st Place — US$500 Nosana Cloud Credits</v>
      </c>
      <c r="D16" s="3" t="str">
        <f aca="false">IF(Hackathons!Q43="","",Hackathons!Q43)</f>
        <v>1st Prize</v>
      </c>
      <c r="E16" s="3" t="str">
        <f aca="false">IF(Hackathons!R43="","",Hackathons!R43)</f>
        <v/>
      </c>
      <c r="F16" s="6" t="n">
        <f aca="false">IF(Hackathons!AH43="","",Hackathons!AH43)</f>
        <v>1</v>
      </c>
      <c r="G16" s="3" t="str">
        <f aca="false">IF(Hackathons!AI43="","",Hackathons!AI43)</f>
        <v>Per Team</v>
      </c>
      <c r="H16" s="7" t="str">
        <f aca="false">IF(Hackathons!S43="","",IF(G16="Per Team Member",Hackathons!S43*F16,Hackathons!S43))</f>
        <v/>
      </c>
      <c r="I16" s="3" t="str">
        <f aca="false">IF(Hackathons!T43="","",Hackathons!T43)</f>
        <v/>
      </c>
      <c r="J16" s="57" t="str">
        <f aca="false">IF(OR(H16="",F16=""),"",H16/F16)</f>
        <v/>
      </c>
      <c r="K16" s="7" t="n">
        <f aca="false">IF(Hackathons!U43="","",IF(G16="Per Team Member",Hackathons!U43*F16,Hackathons!U43))</f>
        <v>500</v>
      </c>
      <c r="L16" s="3" t="str">
        <f aca="false">IF(Hackathons!V43="","",Hackathons!V43)</f>
        <v>USD</v>
      </c>
      <c r="M16" s="57" t="n">
        <f aca="false">IF(OR(K16="",F16=""),"",K16/F16)</f>
        <v>500</v>
      </c>
      <c r="N16" s="6" t="str">
        <f aca="false">IF(Hackathons!W43="","",IF(G16="Per Team Member",Hackathons!W43*F16,Hackathons!W43))</f>
        <v/>
      </c>
      <c r="O16" s="7" t="str">
        <f aca="false">IF(Hackathons!X43="","",IF(G16="Per Team Member",Hackathons!X43*F16,Hackathons!X43))</f>
        <v/>
      </c>
      <c r="P16" s="3" t="str">
        <f aca="false">IF(Hackathons!Y43="","",Hackathons!Y43)</f>
        <v/>
      </c>
      <c r="Q16" s="57" t="str">
        <f aca="false">IF(OR(O16="",F16=""),"",O16/F16)</f>
        <v/>
      </c>
      <c r="R16" s="7" t="str">
        <f aca="false">IF(Hackathons!AC43="","",IF(G16="Per Team Member",Hackathons!AC43*F16,Hackathons!AC43))</f>
        <v/>
      </c>
      <c r="S16" s="3" t="str">
        <f aca="false">IF(Hackathons!AD43="","",Hackathons!AD43)</f>
        <v/>
      </c>
      <c r="T16" s="57" t="str">
        <f aca="false">IF(OR(R16="",F16="",F16=0),"",R16/F16)</f>
        <v/>
      </c>
      <c r="U16" s="3" t="str">
        <f aca="false">IF(Hackathons!Z43="","",Hackathons!Z43)</f>
        <v>Nosana Cloud credit</v>
      </c>
      <c r="V16" s="3" t="str">
        <f aca="false">IF(Hackathons!AA43="","",Hackathons!AA43)</f>
        <v/>
      </c>
      <c r="W16" s="6" t="str">
        <f aca="false">IF(Hackathons!AB43="","",Hackathons!AB43)</f>
        <v/>
      </c>
      <c r="X16" s="3" t="str">
        <f aca="false">IF(Hackathons!AE43="","",Hackathons!AE43)</f>
        <v>Exclude</v>
      </c>
      <c r="Y16" s="3" t="str">
        <f aca="false">IF(Hackathons!AF43="","",Hackathons!AF43)</f>
        <v>Cloud credit, not cash</v>
      </c>
    </row>
    <row r="17" customFormat="false" ht="15" hidden="false" customHeight="false" outlineLevel="0" collapsed="false">
      <c r="A17" s="3" t="n">
        <f aca="false">Hackathons!A51</f>
        <v>50</v>
      </c>
      <c r="B17" s="3" t="str">
        <f aca="false">Hackathons!B51</f>
        <v>Agentfield Hackathon 2026</v>
      </c>
      <c r="C17" s="3" t="str">
        <f aca="false">Hackathons!AG51</f>
        <v>1st Place — US$1,000 OpenRouter Credits</v>
      </c>
      <c r="D17" s="3" t="str">
        <f aca="false">IF(Hackathons!Q51="","",Hackathons!Q51)</f>
        <v>1st Prize</v>
      </c>
      <c r="E17" s="3" t="str">
        <f aca="false">IF(Hackathons!R51="","",Hackathons!R51)</f>
        <v/>
      </c>
      <c r="F17" s="6" t="n">
        <f aca="false">IF(Hackathons!AH51="","",Hackathons!AH51)</f>
        <v>3</v>
      </c>
      <c r="G17" s="3" t="str">
        <f aca="false">IF(Hackathons!AI51="","",Hackathons!AI51)</f>
        <v>Per Team</v>
      </c>
      <c r="H17" s="7" t="str">
        <f aca="false">IF(Hackathons!S51="","",IF(G17="Per Team Member",Hackathons!S51*F17,Hackathons!S51))</f>
        <v/>
      </c>
      <c r="I17" s="3" t="str">
        <f aca="false">IF(Hackathons!T51="","",Hackathons!T51)</f>
        <v/>
      </c>
      <c r="J17" s="57" t="str">
        <f aca="false">IF(OR(H17="",F17=""),"",H17/F17)</f>
        <v/>
      </c>
      <c r="K17" s="7" t="n">
        <f aca="false">IF(Hackathons!U51="","",IF(G17="Per Team Member",Hackathons!U51*F17,Hackathons!U51))</f>
        <v>1000</v>
      </c>
      <c r="L17" s="3" t="str">
        <f aca="false">IF(Hackathons!V51="","",Hackathons!V51)</f>
        <v>USD</v>
      </c>
      <c r="M17" s="57" t="n">
        <f aca="false">IF(OR(K17="",F17=""),"",K17/F17)</f>
        <v>333.333333333333</v>
      </c>
      <c r="N17" s="6" t="str">
        <f aca="false">IF(Hackathons!W51="","",IF(G17="Per Team Member",Hackathons!W51*F17,Hackathons!W51))</f>
        <v/>
      </c>
      <c r="O17" s="7" t="str">
        <f aca="false">IF(Hackathons!X51="","",IF(G17="Per Team Member",Hackathons!X51*F17,Hackathons!X51))</f>
        <v/>
      </c>
      <c r="P17" s="3" t="str">
        <f aca="false">IF(Hackathons!Y51="","",Hackathons!Y51)</f>
        <v/>
      </c>
      <c r="Q17" s="57" t="str">
        <f aca="false">IF(OR(O17="",F17=""),"",O17/F17)</f>
        <v/>
      </c>
      <c r="R17" s="7" t="str">
        <f aca="false">IF(Hackathons!AC51="","",IF(G17="Per Team Member",Hackathons!AC51*F17,Hackathons!AC51))</f>
        <v/>
      </c>
      <c r="S17" s="3" t="str">
        <f aca="false">IF(Hackathons!AD51="","",Hackathons!AD51)</f>
        <v/>
      </c>
      <c r="T17" s="57" t="str">
        <f aca="false">IF(OR(R17="",F17="",F17=0),"",R17/F17)</f>
        <v/>
      </c>
      <c r="U17" s="3" t="str">
        <f aca="false">IF(Hackathons!Z51="","",Hackathons!Z51)</f>
        <v>OpenRouter credits</v>
      </c>
      <c r="V17" s="3" t="str">
        <f aca="false">IF(Hackathons!AA51="","",Hackathons!AA51)</f>
        <v/>
      </c>
      <c r="W17" s="6" t="str">
        <f aca="false">IF(Hackathons!AB51="","",Hackathons!AB51)</f>
        <v/>
      </c>
      <c r="X17" s="3" t="str">
        <f aca="false">IF(Hackathons!AE51="","",Hackathons!AE51)</f>
        <v>Exclude</v>
      </c>
      <c r="Y17" s="3" t="str">
        <f aca="false">IF(Hackathons!AF51="","",Hackathons!AF51)</f>
        <v>API credits, not cash</v>
      </c>
    </row>
    <row r="18" customFormat="false" ht="15" hidden="false" customHeight="false" outlineLevel="0" collapsed="false">
      <c r="A18" s="3" t="n">
        <f aca="false">Hackathons!A53</f>
        <v>52</v>
      </c>
      <c r="B18" s="3" t="str">
        <f aca="false">Hackathons!B53</f>
        <v>AgentForce Hackathon 2026</v>
      </c>
      <c r="C18" s="3" t="str">
        <f aca="false">Hackathons!AG53</f>
        <v>1st Place — US$500 API Credits</v>
      </c>
      <c r="D18" s="3" t="str">
        <f aca="false">IF(Hackathons!Q53="","",Hackathons!Q53)</f>
        <v>1st Prize</v>
      </c>
      <c r="E18" s="3" t="str">
        <f aca="false">IF(Hackathons!R53="","",Hackathons!R53)</f>
        <v/>
      </c>
      <c r="F18" s="6" t="n">
        <f aca="false">IF(Hackathons!AH53="","",Hackathons!AH53)</f>
        <v>3</v>
      </c>
      <c r="G18" s="3" t="str">
        <f aca="false">IF(Hackathons!AI53="","",Hackathons!AI53)</f>
        <v>Per Team</v>
      </c>
      <c r="H18" s="7" t="str">
        <f aca="false">IF(Hackathons!S53="","",IF(G18="Per Team Member",Hackathons!S53*F18,Hackathons!S53))</f>
        <v/>
      </c>
      <c r="I18" s="3" t="str">
        <f aca="false">IF(Hackathons!T53="","",Hackathons!T53)</f>
        <v/>
      </c>
      <c r="J18" s="57" t="str">
        <f aca="false">IF(OR(H18="",F18=""),"",H18/F18)</f>
        <v/>
      </c>
      <c r="K18" s="7" t="n">
        <f aca="false">IF(Hackathons!U53="","",IF(G18="Per Team Member",Hackathons!U53*F18,Hackathons!U53))</f>
        <v>500</v>
      </c>
      <c r="L18" s="3" t="str">
        <f aca="false">IF(Hackathons!V53="","",Hackathons!V53)</f>
        <v>USD</v>
      </c>
      <c r="M18" s="57" t="n">
        <f aca="false">IF(OR(K18="",F18=""),"",K18/F18)</f>
        <v>166.666666666667</v>
      </c>
      <c r="N18" s="6" t="str">
        <f aca="false">IF(Hackathons!W53="","",IF(G18="Per Team Member",Hackathons!W53*F18,Hackathons!W53))</f>
        <v/>
      </c>
      <c r="O18" s="7" t="str">
        <f aca="false">IF(Hackathons!X53="","",IF(G18="Per Team Member",Hackathons!X53*F18,Hackathons!X53))</f>
        <v/>
      </c>
      <c r="P18" s="3" t="str">
        <f aca="false">IF(Hackathons!Y53="","",Hackathons!Y53)</f>
        <v/>
      </c>
      <c r="Q18" s="57" t="str">
        <f aca="false">IF(OR(O18="",F18=""),"",O18/F18)</f>
        <v/>
      </c>
      <c r="R18" s="7" t="str">
        <f aca="false">IF(Hackathons!AC53="","",IF(G18="Per Team Member",Hackathons!AC53*F18,Hackathons!AC53))</f>
        <v/>
      </c>
      <c r="S18" s="3" t="str">
        <f aca="false">IF(Hackathons!AD53="","",Hackathons!AD53)</f>
        <v/>
      </c>
      <c r="T18" s="57" t="str">
        <f aca="false">IF(OR(R18="",F18="",F18=0),"",R18/F18)</f>
        <v/>
      </c>
      <c r="U18" s="3" t="str">
        <f aca="false">IF(Hackathons!Z53="","",Hackathons!Z53)</f>
        <v>API credits</v>
      </c>
      <c r="V18" s="3" t="str">
        <f aca="false">IF(Hackathons!AA53="","",Hackathons!AA53)</f>
        <v/>
      </c>
      <c r="W18" s="6" t="str">
        <f aca="false">IF(Hackathons!AB53="","",Hackathons!AB53)</f>
        <v/>
      </c>
      <c r="X18" s="3" t="str">
        <f aca="false">IF(Hackathons!AE53="","",Hackathons!AE53)</f>
        <v>Exclude</v>
      </c>
      <c r="Y18" s="3" t="str">
        <f aca="false">IF(Hackathons!AF53="","",Hackathons!AF53)</f>
        <v>API credits, not cash</v>
      </c>
    </row>
    <row r="19" customFormat="false" ht="15" hidden="false" customHeight="false" outlineLevel="0" collapsed="false">
      <c r="A19" s="3" t="n">
        <f aca="false">Hackathons!A54</f>
        <v>53</v>
      </c>
      <c r="B19" s="3" t="str">
        <f aca="false">Hackathons!B54</f>
        <v>AgentForce Hackathon 2026</v>
      </c>
      <c r="C19" s="3" t="str">
        <f aca="false">Hackathons!AG54</f>
        <v>1st Place — US$500 API Credits</v>
      </c>
      <c r="D19" s="3" t="str">
        <f aca="false">IF(Hackathons!Q54="","",Hackathons!Q54)</f>
        <v>1st Prize</v>
      </c>
      <c r="E19" s="3" t="str">
        <f aca="false">IF(Hackathons!R54="","",Hackathons!R54)</f>
        <v/>
      </c>
      <c r="F19" s="6" t="n">
        <f aca="false">IF(Hackathons!AH54="","",Hackathons!AH54)</f>
        <v>3</v>
      </c>
      <c r="G19" s="3" t="str">
        <f aca="false">IF(Hackathons!AI54="","",Hackathons!AI54)</f>
        <v>Per Team</v>
      </c>
      <c r="H19" s="7" t="str">
        <f aca="false">IF(Hackathons!S54="","",IF(G19="Per Team Member",Hackathons!S54*F19,Hackathons!S54))</f>
        <v/>
      </c>
      <c r="I19" s="3" t="str">
        <f aca="false">IF(Hackathons!T54="","",Hackathons!T54)</f>
        <v/>
      </c>
      <c r="J19" s="57" t="str">
        <f aca="false">IF(OR(H19="",F19=""),"",H19/F19)</f>
        <v/>
      </c>
      <c r="K19" s="7" t="n">
        <f aca="false">IF(Hackathons!U54="","",IF(G19="Per Team Member",Hackathons!U54*F19,Hackathons!U54))</f>
        <v>500</v>
      </c>
      <c r="L19" s="3" t="str">
        <f aca="false">IF(Hackathons!V54="","",Hackathons!V54)</f>
        <v>USD</v>
      </c>
      <c r="M19" s="57" t="n">
        <f aca="false">IF(OR(K19="",F19=""),"",K19/F19)</f>
        <v>166.666666666667</v>
      </c>
      <c r="N19" s="6" t="str">
        <f aca="false">IF(Hackathons!W54="","",IF(G19="Per Team Member",Hackathons!W54*F19,Hackathons!W54))</f>
        <v/>
      </c>
      <c r="O19" s="7" t="str">
        <f aca="false">IF(Hackathons!X54="","",IF(G19="Per Team Member",Hackathons!X54*F19,Hackathons!X54))</f>
        <v/>
      </c>
      <c r="P19" s="3" t="str">
        <f aca="false">IF(Hackathons!Y54="","",Hackathons!Y54)</f>
        <v/>
      </c>
      <c r="Q19" s="57" t="str">
        <f aca="false">IF(OR(O19="",F19=""),"",O19/F19)</f>
        <v/>
      </c>
      <c r="R19" s="7" t="str">
        <f aca="false">IF(Hackathons!AC54="","",IF(G19="Per Team Member",Hackathons!AC54*F19,Hackathons!AC54))</f>
        <v/>
      </c>
      <c r="S19" s="3" t="str">
        <f aca="false">IF(Hackathons!AD54="","",Hackathons!AD54)</f>
        <v/>
      </c>
      <c r="T19" s="57" t="str">
        <f aca="false">IF(OR(R19="",F19="",F19=0),"",R19/F19)</f>
        <v/>
      </c>
      <c r="U19" s="3" t="str">
        <f aca="false">IF(Hackathons!Z54="","",Hackathons!Z54)</f>
        <v>API credits</v>
      </c>
      <c r="V19" s="3" t="str">
        <f aca="false">IF(Hackathons!AA54="","",Hackathons!AA54)</f>
        <v/>
      </c>
      <c r="W19" s="6" t="str">
        <f aca="false">IF(Hackathons!AB54="","",Hackathons!AB54)</f>
        <v/>
      </c>
      <c r="X19" s="3" t="str">
        <f aca="false">IF(Hackathons!AE54="","",Hackathons!AE54)</f>
        <v>Exclude</v>
      </c>
      <c r="Y19" s="3" t="str">
        <f aca="false">IF(Hackathons!AF54="","",Hackathons!AF54)</f>
        <v>API credits, not cash</v>
      </c>
    </row>
    <row r="20" customFormat="false" ht="15" hidden="false" customHeight="false" outlineLevel="0" collapsed="false">
      <c r="A20" s="3" t="n">
        <f aca="false">Hackathons!A55</f>
        <v>54</v>
      </c>
      <c r="B20" s="3" t="str">
        <f aca="false">Hackathons!B55</f>
        <v>SUSS X Openclaw Hackathon 2026</v>
      </c>
      <c r="C20" s="3" t="str">
        <f aca="false">Hackathons!AG55</f>
        <v>1st Place — US$150 Wavespeed AI Credits</v>
      </c>
      <c r="D20" s="3" t="str">
        <f aca="false">IF(Hackathons!Q55="","",Hackathons!Q55)</f>
        <v>1st Prize</v>
      </c>
      <c r="E20" s="3" t="str">
        <f aca="false">IF(Hackathons!R55="","",Hackathons!R55)</f>
        <v/>
      </c>
      <c r="F20" s="6" t="n">
        <f aca="false">IF(Hackathons!AH55="","",Hackathons!AH55)</f>
        <v>3</v>
      </c>
      <c r="G20" s="3" t="str">
        <f aca="false">IF(Hackathons!AI55="","",Hackathons!AI55)</f>
        <v>Per Team</v>
      </c>
      <c r="H20" s="7" t="str">
        <f aca="false">IF(Hackathons!S55="","",IF(G20="Per Team Member",Hackathons!S55*F20,Hackathons!S55))</f>
        <v/>
      </c>
      <c r="I20" s="3" t="str">
        <f aca="false">IF(Hackathons!T55="","",Hackathons!T55)</f>
        <v/>
      </c>
      <c r="J20" s="57" t="str">
        <f aca="false">IF(OR(H20="",F20=""),"",H20/F20)</f>
        <v/>
      </c>
      <c r="K20" s="7" t="n">
        <f aca="false">IF(Hackathons!U55="","",IF(G20="Per Team Member",Hackathons!U55*F20,Hackathons!U55))</f>
        <v>150</v>
      </c>
      <c r="L20" s="3" t="str">
        <f aca="false">IF(Hackathons!V55="","",Hackathons!V55)</f>
        <v>USD</v>
      </c>
      <c r="M20" s="57" t="n">
        <f aca="false">IF(OR(K20="",F20=""),"",K20/F20)</f>
        <v>50</v>
      </c>
      <c r="N20" s="6" t="str">
        <f aca="false">IF(Hackathons!W55="","",IF(G20="Per Team Member",Hackathons!W55*F20,Hackathons!W55))</f>
        <v/>
      </c>
      <c r="O20" s="7" t="str">
        <f aca="false">IF(Hackathons!X55="","",IF(G20="Per Team Member",Hackathons!X55*F20,Hackathons!X55))</f>
        <v/>
      </c>
      <c r="P20" s="3" t="str">
        <f aca="false">IF(Hackathons!Y55="","",Hackathons!Y55)</f>
        <v/>
      </c>
      <c r="Q20" s="57" t="str">
        <f aca="false">IF(OR(O20="",F20=""),"",O20/F20)</f>
        <v/>
      </c>
      <c r="R20" s="7" t="str">
        <f aca="false">IF(Hackathons!AC55="","",IF(G20="Per Team Member",Hackathons!AC55*F20,Hackathons!AC55))</f>
        <v/>
      </c>
      <c r="S20" s="3" t="str">
        <f aca="false">IF(Hackathons!AD55="","",Hackathons!AD55)</f>
        <v/>
      </c>
      <c r="T20" s="57" t="str">
        <f aca="false">IF(OR(R20="",F20="",F20=0),"",R20/F20)</f>
        <v/>
      </c>
      <c r="U20" s="3" t="str">
        <f aca="false">IF(Hackathons!Z55="","",Hackathons!Z55)</f>
        <v>Wavespeed AI credits</v>
      </c>
      <c r="V20" s="3" t="str">
        <f aca="false">IF(Hackathons!AA55="","",Hackathons!AA55)</f>
        <v/>
      </c>
      <c r="W20" s="6" t="str">
        <f aca="false">IF(Hackathons!AB55="","",Hackathons!AB55)</f>
        <v/>
      </c>
      <c r="X20" s="3" t="str">
        <f aca="false">IF(Hackathons!AE55="","",Hackathons!AE55)</f>
        <v>Exclude</v>
      </c>
      <c r="Y20" s="3" t="str">
        <f aca="false">IF(Hackathons!AF55="","",Hackathons!AF55)</f>
        <v>API credits, not cash</v>
      </c>
    </row>
    <row r="21" customFormat="false" ht="25.35" hidden="false" customHeight="false" outlineLevel="0" collapsed="false">
      <c r="A21" s="3" t="n">
        <f aca="false">Hackathons!A58</f>
        <v>57</v>
      </c>
      <c r="B21" s="3" t="str">
        <f aca="false">Hackathons!B58</f>
        <v>Agora.io Voice AI Hackathon Singapore 2026</v>
      </c>
      <c r="C21" s="3" t="str">
        <f aca="false">Hackathons!AG58</f>
        <v>3rd Place — S$300 Cash + S$385 API Credits</v>
      </c>
      <c r="D21" s="3" t="str">
        <f aca="false">IF(Hackathons!Q58="","",Hackathons!Q58)</f>
        <v>3rd Prize</v>
      </c>
      <c r="E21" s="3" t="str">
        <f aca="false">IF(Hackathons!R58="","",Hackathons!R58)</f>
        <v/>
      </c>
      <c r="F21" s="6" t="n">
        <f aca="false">IF(Hackathons!AH58="","",Hackathons!AH58)</f>
        <v>1</v>
      </c>
      <c r="G21" s="3" t="str">
        <f aca="false">IF(Hackathons!AI58="","",Hackathons!AI58)</f>
        <v>Per Team</v>
      </c>
      <c r="H21" s="7" t="n">
        <f aca="false">IF(Hackathons!S58="","",IF(G21="Per Team Member",Hackathons!S58*F21,Hackathons!S58))</f>
        <v>300</v>
      </c>
      <c r="I21" s="3" t="str">
        <f aca="false">IF(Hackathons!T58="","",Hackathons!T58)</f>
        <v>SGD</v>
      </c>
      <c r="J21" s="57" t="n">
        <f aca="false">IF(OR(H21="",F21=""),"",H21/F21)</f>
        <v>300</v>
      </c>
      <c r="K21" s="7" t="n">
        <f aca="false">IF(Hackathons!U58="","",IF(G21="Per Team Member",Hackathons!U58*F21,Hackathons!U58))</f>
        <v>385</v>
      </c>
      <c r="L21" s="3" t="str">
        <f aca="false">IF(Hackathons!V58="","",Hackathons!V58)</f>
        <v>SGD</v>
      </c>
      <c r="M21" s="57" t="n">
        <f aca="false">IF(OR(K21="",F21=""),"",K21/F21)</f>
        <v>385</v>
      </c>
      <c r="N21" s="6" t="str">
        <f aca="false">IF(Hackathons!W58="","",IF(G21="Per Team Member",Hackathons!W58*F21,Hackathons!W58))</f>
        <v/>
      </c>
      <c r="O21" s="7" t="str">
        <f aca="false">IF(Hackathons!X58="","",IF(G21="Per Team Member",Hackathons!X58*F21,Hackathons!X58))</f>
        <v/>
      </c>
      <c r="P21" s="3" t="str">
        <f aca="false">IF(Hackathons!Y58="","",Hackathons!Y58)</f>
        <v/>
      </c>
      <c r="Q21" s="57" t="str">
        <f aca="false">IF(OR(O21="",F21=""),"",O21/F21)</f>
        <v/>
      </c>
      <c r="R21" s="7" t="str">
        <f aca="false">IF(Hackathons!AC58="","",IF(G21="Per Team Member",Hackathons!AC58*F21,Hackathons!AC58))</f>
        <v/>
      </c>
      <c r="S21" s="3" t="str">
        <f aca="false">IF(Hackathons!AD58="","",Hackathons!AD58)</f>
        <v/>
      </c>
      <c r="T21" s="57" t="str">
        <f aca="false">IF(OR(R21="",F21="",F21=0),"",R21/F21)</f>
        <v/>
      </c>
      <c r="U21" s="3" t="str">
        <f aca="false">IF(Hackathons!Z58="","",Hackathons!Z58)</f>
        <v>API credits</v>
      </c>
      <c r="V21" s="3" t="str">
        <f aca="false">IF(Hackathons!AA58="","",Hackathons!AA58)</f>
        <v/>
      </c>
      <c r="W21" s="6" t="str">
        <f aca="false">IF(Hackathons!AB58="","",Hackathons!AB58)</f>
        <v/>
      </c>
      <c r="X21" s="3" t="str">
        <f aca="false">IF(Hackathons!AE58="","",Hackathons!AE58)</f>
        <v>Yes</v>
      </c>
      <c r="Y21" s="3" t="str">
        <f aca="false">IF(Hackathons!AF58="","",Hackathons!AF58)</f>
        <v>Explicit cash; API credit value also tracked</v>
      </c>
    </row>
    <row r="22" customFormat="false" ht="37.3" hidden="false" customHeight="false" outlineLevel="0" collapsed="false">
      <c r="A22" s="3" t="n">
        <f aca="false">Hackathons!A61</f>
        <v>60</v>
      </c>
      <c r="B22" s="3" t="str">
        <f aca="false">Hackathons!B61</f>
        <v>Build Voice Agents with Speechmatics | TGB Buildathon 2026</v>
      </c>
      <c r="C22" s="3" t="str">
        <f aca="false">Hackathons!AG61</f>
        <v>Award — Speechmatics — US$2,000 Speechmatics Credits</v>
      </c>
      <c r="D22" s="3" t="str">
        <f aca="false">IF(Hackathons!Q61="","",Hackathons!Q61)</f>
        <v>Award</v>
      </c>
      <c r="E22" s="3" t="str">
        <f aca="false">IF(Hackathons!R61="","",Hackathons!R61)</f>
        <v>Speechmatics</v>
      </c>
      <c r="F22" s="6" t="n">
        <f aca="false">IF(Hackathons!AH61="","",Hackathons!AH61)</f>
        <v>1</v>
      </c>
      <c r="G22" s="3" t="str">
        <f aca="false">IF(Hackathons!AI61="","",Hackathons!AI61)</f>
        <v>Per Team</v>
      </c>
      <c r="H22" s="7" t="str">
        <f aca="false">IF(Hackathons!S61="","",IF(G22="Per Team Member",Hackathons!S61*F22,Hackathons!S61))</f>
        <v/>
      </c>
      <c r="I22" s="3" t="str">
        <f aca="false">IF(Hackathons!T61="","",Hackathons!T61)</f>
        <v/>
      </c>
      <c r="J22" s="57" t="str">
        <f aca="false">IF(OR(H22="",F22=""),"",H22/F22)</f>
        <v/>
      </c>
      <c r="K22" s="7" t="n">
        <f aca="false">IF(Hackathons!U61="","",IF(G22="Per Team Member",Hackathons!U61*F22,Hackathons!U61))</f>
        <v>2000</v>
      </c>
      <c r="L22" s="3" t="str">
        <f aca="false">IF(Hackathons!V61="","",Hackathons!V61)</f>
        <v>USD</v>
      </c>
      <c r="M22" s="57" t="n">
        <f aca="false">IF(OR(K22="",F22=""),"",K22/F22)</f>
        <v>2000</v>
      </c>
      <c r="N22" s="6" t="str">
        <f aca="false">IF(Hackathons!W61="","",IF(G22="Per Team Member",Hackathons!W61*F22,Hackathons!W61))</f>
        <v/>
      </c>
      <c r="O22" s="7" t="str">
        <f aca="false">IF(Hackathons!X61="","",IF(G22="Per Team Member",Hackathons!X61*F22,Hackathons!X61))</f>
        <v/>
      </c>
      <c r="P22" s="3" t="str">
        <f aca="false">IF(Hackathons!Y61="","",Hackathons!Y61)</f>
        <v/>
      </c>
      <c r="Q22" s="57" t="str">
        <f aca="false">IF(OR(O22="",F22=""),"",O22/F22)</f>
        <v/>
      </c>
      <c r="R22" s="7" t="str">
        <f aca="false">IF(Hackathons!AC61="","",IF(G22="Per Team Member",Hackathons!AC61*F22,Hackathons!AC61))</f>
        <v/>
      </c>
      <c r="S22" s="3" t="str">
        <f aca="false">IF(Hackathons!AD61="","",Hackathons!AD61)</f>
        <v/>
      </c>
      <c r="T22" s="57" t="str">
        <f aca="false">IF(OR(R22="",F22="",F22=0),"",R22/F22)</f>
        <v/>
      </c>
      <c r="U22" s="3" t="str">
        <f aca="false">IF(Hackathons!Z61="","",Hackathons!Z61)</f>
        <v>Speechmatics credits</v>
      </c>
      <c r="V22" s="3" t="str">
        <f aca="false">IF(Hackathons!AA61="","",Hackathons!AA61)</f>
        <v/>
      </c>
      <c r="W22" s="6" t="str">
        <f aca="false">IF(Hackathons!AB61="","",Hackathons!AB61)</f>
        <v/>
      </c>
      <c r="X22" s="3" t="str">
        <f aca="false">IF(Hackathons!AE61="","",Hackathons!AE61)</f>
        <v>Exclude</v>
      </c>
      <c r="Y22" s="3" t="str">
        <f aca="false">IF(Hackathons!AF61="","",Hackathons!AF61)</f>
        <v>USD-denominated credit value</v>
      </c>
    </row>
    <row r="23" customFormat="false" ht="25.35" hidden="false" customHeight="false" outlineLevel="0" collapsed="false">
      <c r="A23" s="3" t="n">
        <f aca="false">Hackathons!A62</f>
        <v>61</v>
      </c>
      <c r="B23" s="3" t="str">
        <f aca="false">Hackathons!B62</f>
        <v>Vercel Zero to Agent: Singapore (1 Hr Hackathon) 2026</v>
      </c>
      <c r="C23" s="3" t="str">
        <f aca="false">Hackathons!AG62</f>
        <v>2nd Place — v0 Sock</v>
      </c>
      <c r="D23" s="3" t="str">
        <f aca="false">IF(Hackathons!Q62="","",Hackathons!Q62)</f>
        <v>2nd Place</v>
      </c>
      <c r="E23" s="3" t="str">
        <f aca="false">IF(Hackathons!R62="","",Hackathons!R62)</f>
        <v>v0 Sock</v>
      </c>
      <c r="F23" s="6" t="n">
        <f aca="false">IF(Hackathons!AH62="","",Hackathons!AH62)</f>
        <v>1</v>
      </c>
      <c r="G23" s="3" t="str">
        <f aca="false">IF(Hackathons!AI62="","",Hackathons!AI62)</f>
        <v>Per Team</v>
      </c>
      <c r="H23" s="7" t="str">
        <f aca="false">IF(Hackathons!S62="","",IF(G23="Per Team Member",Hackathons!S62*F23,Hackathons!S62))</f>
        <v/>
      </c>
      <c r="I23" s="3" t="str">
        <f aca="false">IF(Hackathons!T62="","",Hackathons!T62)</f>
        <v/>
      </c>
      <c r="J23" s="57" t="str">
        <f aca="false">IF(OR(H23="",F23=""),"",H23/F23)</f>
        <v/>
      </c>
      <c r="K23" s="7" t="str">
        <f aca="false">IF(Hackathons!U62="","",IF(G23="Per Team Member",Hackathons!U62*F23,Hackathons!U62))</f>
        <v/>
      </c>
      <c r="L23" s="3" t="str">
        <f aca="false">IF(Hackathons!V62="","",Hackathons!V62)</f>
        <v/>
      </c>
      <c r="M23" s="57" t="str">
        <f aca="false">IF(OR(K23="",F23=""),"",K23/F23)</f>
        <v/>
      </c>
      <c r="N23" s="6" t="str">
        <f aca="false">IF(Hackathons!W62="","",IF(G23="Per Team Member",Hackathons!W62*F23,Hackathons!W62))</f>
        <v/>
      </c>
      <c r="O23" s="7" t="str">
        <f aca="false">IF(Hackathons!X62="","",IF(G23="Per Team Member",Hackathons!X62*F23,Hackathons!X62))</f>
        <v/>
      </c>
      <c r="P23" s="3" t="str">
        <f aca="false">IF(Hackathons!Y62="","",Hackathons!Y62)</f>
        <v/>
      </c>
      <c r="Q23" s="57" t="str">
        <f aca="false">IF(OR(O23="",F23=""),"",O23/F23)</f>
        <v/>
      </c>
      <c r="R23" s="7" t="str">
        <f aca="false">IF(Hackathons!AC62="","",IF(G23="Per Team Member",Hackathons!AC62*F23,Hackathons!AC62))</f>
        <v/>
      </c>
      <c r="S23" s="3" t="str">
        <f aca="false">IF(Hackathons!AD62="","",Hackathons!AD62)</f>
        <v/>
      </c>
      <c r="T23" s="57" t="str">
        <f aca="false">IF(OR(R23="",F23="",F23=0),"",R23/F23)</f>
        <v/>
      </c>
      <c r="U23" s="3" t="str">
        <f aca="false">IF(Hackathons!Z62="","",Hackathons!Z62)</f>
        <v>v0 Sock</v>
      </c>
      <c r="V23" s="3" t="str">
        <f aca="false">IF(Hackathons!AA62="","",Hackathons!AA62)</f>
        <v>v0 Sock</v>
      </c>
      <c r="W23" s="6" t="n">
        <f aca="false">IF(Hackathons!AB62="","",Hackathons!AB62)</f>
        <v>0</v>
      </c>
      <c r="X23" s="3" t="str">
        <f aca="false">IF(Hackathons!AE62="","",Hackathons!AE62)</f>
        <v>Exclude</v>
      </c>
      <c r="Y23" s="3" t="str">
        <f aca="false">IF(Hackathons!AF62="","",Hackathons!AF62)</f>
        <v>Physical item, not cash</v>
      </c>
    </row>
    <row r="24" customFormat="false" ht="25.35" hidden="false" customHeight="false" outlineLevel="0" collapsed="false">
      <c r="A24" s="3" t="n">
        <f aca="false">Hackathons!A67</f>
        <v>66</v>
      </c>
      <c r="B24" s="3" t="str">
        <f aca="false">Hackathons!B67</f>
        <v>UCWS 2026 (Semi-Finals)</v>
      </c>
      <c r="C24" s="3" t="str">
        <f aca="false">Hackathons!AG67</f>
        <v>Top 20 — US$12,000 Credits (OpenAI + Gemini Cloud)</v>
      </c>
      <c r="D24" s="3" t="str">
        <f aca="false">IF(Hackathons!Q67="","",Hackathons!Q67)</f>
        <v>Top 20</v>
      </c>
      <c r="E24" s="3" t="str">
        <f aca="false">IF(Hackathons!R67="","",Hackathons!R67)</f>
        <v/>
      </c>
      <c r="F24" s="6" t="n">
        <f aca="false">IF(Hackathons!AH67="","",Hackathons!AH67)</f>
        <v>2</v>
      </c>
      <c r="G24" s="3" t="str">
        <f aca="false">IF(Hackathons!AI67="","",Hackathons!AI67)</f>
        <v>Per Team</v>
      </c>
      <c r="H24" s="7" t="str">
        <f aca="false">IF(Hackathons!S67="","",IF(G24="Per Team Member",Hackathons!S67*F24,Hackathons!S67))</f>
        <v/>
      </c>
      <c r="I24" s="3" t="str">
        <f aca="false">IF(Hackathons!T67="","",Hackathons!T67)</f>
        <v/>
      </c>
      <c r="J24" s="57" t="str">
        <f aca="false">IF(OR(H24="",F24=""),"",H24/F24)</f>
        <v/>
      </c>
      <c r="K24" s="7" t="n">
        <f aca="false">IF(Hackathons!U67="","",IF(G24="Per Team Member",Hackathons!U67*F24,Hackathons!U67))</f>
        <v>12000</v>
      </c>
      <c r="L24" s="3" t="str">
        <f aca="false">IF(Hackathons!V67="","",Hackathons!V67)</f>
        <v>USD</v>
      </c>
      <c r="M24" s="57" t="n">
        <f aca="false">IF(OR(K24="",F24=""),"",K24/F24)</f>
        <v>6000</v>
      </c>
      <c r="N24" s="6" t="str">
        <f aca="false">IF(Hackathons!W67="","",IF(G24="Per Team Member",Hackathons!W67*F24,Hackathons!W67))</f>
        <v/>
      </c>
      <c r="O24" s="7" t="str">
        <f aca="false">IF(Hackathons!X67="","",IF(G24="Per Team Member",Hackathons!X67*F24,Hackathons!X67))</f>
        <v/>
      </c>
      <c r="P24" s="3" t="str">
        <f aca="false">IF(Hackathons!Y67="","",Hackathons!Y67)</f>
        <v/>
      </c>
      <c r="Q24" s="57" t="str">
        <f aca="false">IF(OR(O24="",F24=""),"",O24/F24)</f>
        <v/>
      </c>
      <c r="R24" s="7" t="str">
        <f aca="false">IF(Hackathons!AC67="","",IF(G24="Per Team Member",Hackathons!AC67*F24,Hackathons!AC67))</f>
        <v/>
      </c>
      <c r="S24" s="3" t="str">
        <f aca="false">IF(Hackathons!AD67="","",Hackathons!AD67)</f>
        <v/>
      </c>
      <c r="T24" s="57" t="str">
        <f aca="false">IF(OR(R24="",F24="",F24=0),"",R24/F24)</f>
        <v/>
      </c>
      <c r="U24" s="3" t="str">
        <f aca="false">IF(Hackathons!Z67="","",Hackathons!Z67)</f>
        <v>10K OpenAI credits; 2K Gemini Cloud credits</v>
      </c>
      <c r="V24" s="3" t="str">
        <f aca="false">IF(Hackathons!AA67="","",Hackathons!AA67)</f>
        <v/>
      </c>
      <c r="W24" s="6" t="str">
        <f aca="false">IF(Hackathons!AB67="","",Hackathons!AB67)</f>
        <v/>
      </c>
      <c r="X24" s="3" t="str">
        <f aca="false">IF(Hackathons!AE67="","",Hackathons!AE67)</f>
        <v>Exclude</v>
      </c>
      <c r="Y24" s="3" t="str">
        <f aca="false">IF(Hackathons!AF67="","",Hackathons!AF67)</f>
        <v>Credit value total combines two USD-denominated credits</v>
      </c>
    </row>
    <row r="25" customFormat="false" ht="15" hidden="false" customHeight="false" outlineLevel="0" collapsed="false">
      <c r="A25" s="3" t="n">
        <f aca="false">Hackathons!A72</f>
        <v>71</v>
      </c>
      <c r="B25" s="3" t="str">
        <f aca="false">Hackathons!B72</f>
        <v>BUIDL_OPC_Hackathon_SG</v>
      </c>
      <c r="C25" s="3" t="str">
        <f aca="false">Hackathons!AG72</f>
        <v>Top 30 — US$4,500 AWS Credits</v>
      </c>
      <c r="D25" s="3" t="str">
        <f aca="false">IF(Hackathons!Q72="","",Hackathons!Q72)</f>
        <v>Top 30</v>
      </c>
      <c r="E25" s="3" t="str">
        <f aca="false">IF(Hackathons!R72="","",Hackathons!R72)</f>
        <v/>
      </c>
      <c r="F25" s="6" t="n">
        <f aca="false">IF(Hackathons!AH72="","",Hackathons!AH72)</f>
        <v>2</v>
      </c>
      <c r="G25" s="3" t="str">
        <f aca="false">IF(Hackathons!AI72="","",Hackathons!AI72)</f>
        <v>Per Team</v>
      </c>
      <c r="H25" s="7" t="str">
        <f aca="false">IF(Hackathons!S72="","",IF(G25="Per Team Member",Hackathons!S72*F25,Hackathons!S72))</f>
        <v/>
      </c>
      <c r="I25" s="3" t="str">
        <f aca="false">IF(Hackathons!T72="","",Hackathons!T72)</f>
        <v/>
      </c>
      <c r="J25" s="57" t="str">
        <f aca="false">IF(OR(H25="",F25=""),"",H25/F25)</f>
        <v/>
      </c>
      <c r="K25" s="7" t="n">
        <f aca="false">IF(Hackathons!U72="","",IF(G25="Per Team Member",Hackathons!U72*F25,Hackathons!U72))</f>
        <v>4500</v>
      </c>
      <c r="L25" s="3" t="str">
        <f aca="false">IF(Hackathons!V72="","",Hackathons!V72)</f>
        <v>USD</v>
      </c>
      <c r="M25" s="57" t="n">
        <f aca="false">IF(OR(K25="",F25=""),"",K25/F25)</f>
        <v>2250</v>
      </c>
      <c r="N25" s="6" t="str">
        <f aca="false">IF(Hackathons!W72="","",IF(G25="Per Team Member",Hackathons!W72*F25,Hackathons!W72))</f>
        <v/>
      </c>
      <c r="O25" s="7" t="str">
        <f aca="false">IF(Hackathons!X72="","",IF(G25="Per Team Member",Hackathons!X72*F25,Hackathons!X72))</f>
        <v/>
      </c>
      <c r="P25" s="3" t="str">
        <f aca="false">IF(Hackathons!Y72="","",Hackathons!Y72)</f>
        <v/>
      </c>
      <c r="Q25" s="57" t="str">
        <f aca="false">IF(OR(O25="",F25=""),"",O25/F25)</f>
        <v/>
      </c>
      <c r="R25" s="7" t="str">
        <f aca="false">IF(Hackathons!AC72="","",IF(G25="Per Team Member",Hackathons!AC72*F25,Hackathons!AC72))</f>
        <v/>
      </c>
      <c r="S25" s="3" t="str">
        <f aca="false">IF(Hackathons!AD72="","",Hackathons!AD72)</f>
        <v/>
      </c>
      <c r="T25" s="57" t="str">
        <f aca="false">IF(OR(R25="",F25="",F25=0),"",R25/F25)</f>
        <v/>
      </c>
      <c r="U25" s="3" t="str">
        <f aca="false">IF(Hackathons!Z72="","",Hackathons!Z72)</f>
        <v>AWS credits</v>
      </c>
      <c r="V25" s="3" t="str">
        <f aca="false">IF(Hackathons!AA72="","",Hackathons!AA72)</f>
        <v/>
      </c>
      <c r="W25" s="6" t="str">
        <f aca="false">IF(Hackathons!AB72="","",Hackathons!AB72)</f>
        <v/>
      </c>
      <c r="X25" s="3" t="str">
        <f aca="false">IF(Hackathons!AE72="","",Hackathons!AE72)</f>
        <v>Exclude</v>
      </c>
      <c r="Y25" s="3" t="str">
        <f aca="false">IF(Hackathons!AF72="","",Hackathons!AF72)</f>
        <v>USD-denominated credit value</v>
      </c>
    </row>
    <row r="26" customFormat="false" ht="25.35" hidden="false" customHeight="false" outlineLevel="0" collapsed="false">
      <c r="A26" s="3" t="n">
        <f aca="false">Hackathons!A76</f>
        <v>75</v>
      </c>
      <c r="B26" s="3" t="str">
        <f aca="false">Hackathons!B76</f>
        <v>One AI Hackathon 2026</v>
      </c>
      <c r="C26" s="3" t="str">
        <f aca="false">Hackathons!AG76</f>
        <v>Best Project — Best Vertical Solution: Family Office Track — 2,000 Cybrdeck API Credits Each (US$25 value)</v>
      </c>
      <c r="D26" s="3" t="str">
        <f aca="false">IF(Hackathons!Q76="","",Hackathons!Q76)</f>
        <v>Best Project</v>
      </c>
      <c r="E26" s="3" t="str">
        <f aca="false">IF(Hackathons!R76="","",Hackathons!R76)</f>
        <v>Best Vertical Solution: Family Office Track</v>
      </c>
      <c r="F26" s="6" t="n">
        <f aca="false">IF(Hackathons!AH76="","",Hackathons!AH76)</f>
        <v>2</v>
      </c>
      <c r="G26" s="3" t="str">
        <f aca="false">IF(Hackathons!AI76="","",Hackathons!AI76)</f>
        <v>Per Team Member</v>
      </c>
      <c r="H26" s="7" t="str">
        <f aca="false">IF(Hackathons!S76="","",IF(G26="Per Team Member",Hackathons!S76*F26,Hackathons!S76))</f>
        <v/>
      </c>
      <c r="I26" s="3" t="str">
        <f aca="false">IF(Hackathons!T76="","",Hackathons!T76)</f>
        <v/>
      </c>
      <c r="J26" s="57" t="str">
        <f aca="false">IF(OR(H26="",F26=""),"",H26/F26)</f>
        <v/>
      </c>
      <c r="K26" s="7" t="n">
        <f aca="false">IF(Hackathons!U76="","",IF(G26="Per Team Member",Hackathons!U76*F26,Hackathons!U76))</f>
        <v>50</v>
      </c>
      <c r="L26" s="3" t="str">
        <f aca="false">IF(Hackathons!V76="","",Hackathons!V76)</f>
        <v>USD</v>
      </c>
      <c r="M26" s="57" t="n">
        <f aca="false">IF(OR(K26="",F26=""),"",K26/F26)</f>
        <v>25</v>
      </c>
      <c r="N26" s="6" t="str">
        <f aca="false">IF(Hackathons!W76="","",IF(G26="Per Team Member",Hackathons!W76*F26,Hackathons!W76))</f>
        <v/>
      </c>
      <c r="O26" s="7" t="str">
        <f aca="false">IF(Hackathons!X76="","",IF(G26="Per Team Member",Hackathons!X76*F26,Hackathons!X76))</f>
        <v/>
      </c>
      <c r="P26" s="3" t="str">
        <f aca="false">IF(Hackathons!Y76="","",Hackathons!Y76)</f>
        <v/>
      </c>
      <c r="Q26" s="57" t="str">
        <f aca="false">IF(OR(O26="",F26=""),"",O26/F26)</f>
        <v/>
      </c>
      <c r="R26" s="7" t="str">
        <f aca="false">IF(Hackathons!AC76="","",IF(G26="Per Team Member",Hackathons!AC76*F26,Hackathons!AC76))</f>
        <v/>
      </c>
      <c r="S26" s="3" t="str">
        <f aca="false">IF(Hackathons!AD76="","",Hackathons!AD76)</f>
        <v/>
      </c>
      <c r="T26" s="57" t="str">
        <f aca="false">IF(OR(R26="",F26="",F26=0),"",R26/F26)</f>
        <v/>
      </c>
      <c r="U26" s="3" t="str">
        <f aca="false">IF(Hackathons!Z76="","",Hackathons!Z76)</f>
        <v>2,000 Cybrdeck API credits</v>
      </c>
      <c r="V26" s="3" t="str">
        <f aca="false">IF(Hackathons!AA76="","",Hackathons!AA76)</f>
        <v/>
      </c>
      <c r="W26" s="6" t="str">
        <f aca="false">IF(Hackathons!AB76="","",Hackathons!AB76)</f>
        <v/>
      </c>
      <c r="X26" s="3" t="str">
        <f aca="false">IF(Hackathons!AE76="","",Hackathons!AE76)</f>
        <v>Exclude</v>
      </c>
      <c r="Y26" s="3" t="str">
        <f aca="false">IF(Hackathons!AF76="","",Hackathons!AF76)</f>
        <v>US$25 credit value, not cash</v>
      </c>
    </row>
    <row r="27" customFormat="false" ht="25.35" hidden="false" customHeight="false" outlineLevel="0" collapsed="false">
      <c r="A27" s="3" t="n">
        <f aca="false">Hackathons!A80</f>
        <v>79</v>
      </c>
      <c r="B27" s="3" t="str">
        <f aca="false">Hackathons!B80</f>
        <v>SG × SWK Friendship AI Business Design Hackathon</v>
      </c>
      <c r="C27" s="3" t="str">
        <f aca="false">Hackathons!AG80</f>
        <v>First Runner-Up — SG × Sarawak AI &amp; Design Hackathon — US$200 Kimi AI Credits + Trophy</v>
      </c>
      <c r="D27" s="3" t="str">
        <f aca="false">IF(Hackathons!Q80="","",Hackathons!Q80)</f>
        <v>First Runner-Up</v>
      </c>
      <c r="E27" s="3" t="str">
        <f aca="false">IF(Hackathons!R80="","",Hackathons!R80)</f>
        <v>SG × Sarawak AI &amp; Design Hackathon 2026</v>
      </c>
      <c r="F27" s="6" t="n">
        <f aca="false">IF(Hackathons!AH80="","",Hackathons!AH80)</f>
        <v>3</v>
      </c>
      <c r="G27" s="3" t="str">
        <f aca="false">IF(Hackathons!AI80="","",Hackathons!AI80)</f>
        <v>Per Team</v>
      </c>
      <c r="H27" s="7" t="str">
        <f aca="false">IF(Hackathons!S80="","",IF(G27="Per Team Member",Hackathons!S80*F27,Hackathons!S80))</f>
        <v/>
      </c>
      <c r="I27" s="3" t="str">
        <f aca="false">IF(Hackathons!T80="","",Hackathons!T80)</f>
        <v/>
      </c>
      <c r="J27" s="57" t="str">
        <f aca="false">IF(OR(H27="",F27=""),"",H27/F27)</f>
        <v/>
      </c>
      <c r="K27" s="7" t="n">
        <f aca="false">IF(Hackathons!U80="","",IF(G27="Per Team Member",Hackathons!U80*F27,Hackathons!U80))</f>
        <v>200</v>
      </c>
      <c r="L27" s="3" t="str">
        <f aca="false">IF(Hackathons!V80="","",Hackathons!V80)</f>
        <v>USD</v>
      </c>
      <c r="M27" s="57" t="n">
        <f aca="false">IF(OR(K27="",F27=""),"",K27/F27)</f>
        <v>66.6666666666667</v>
      </c>
      <c r="N27" s="6" t="str">
        <f aca="false">IF(Hackathons!W80="","",IF(G27="Per Team Member",Hackathons!W80*F27,Hackathons!W80))</f>
        <v/>
      </c>
      <c r="O27" s="7" t="str">
        <f aca="false">IF(Hackathons!X80="","",IF(G27="Per Team Member",Hackathons!X80*F27,Hackathons!X80))</f>
        <v/>
      </c>
      <c r="P27" s="3" t="str">
        <f aca="false">IF(Hackathons!Y80="","",Hackathons!Y80)</f>
        <v/>
      </c>
      <c r="Q27" s="57" t="str">
        <f aca="false">IF(OR(O27="",F27=""),"",O27/F27)</f>
        <v/>
      </c>
      <c r="R27" s="7" t="str">
        <f aca="false">IF(Hackathons!AC80="","",IF(G27="Per Team Member",Hackathons!AC80*F27,Hackathons!AC80))</f>
        <v/>
      </c>
      <c r="S27" s="3" t="str">
        <f aca="false">IF(Hackathons!AD80="","",Hackathons!AD80)</f>
        <v/>
      </c>
      <c r="T27" s="57" t="str">
        <f aca="false">IF(OR(R27="",F27="",F27=0),"",R27/F27)</f>
        <v/>
      </c>
      <c r="U27" s="3" t="str">
        <f aca="false">IF(Hackathons!Z80="","",Hackathons!Z80)</f>
        <v>Trophy; Kimi AI credits</v>
      </c>
      <c r="V27" s="3" t="str">
        <f aca="false">IF(Hackathons!AA80="","",Hackathons!AA80)</f>
        <v>Trophy</v>
      </c>
      <c r="W27" s="6" t="n">
        <f aca="false">IF(Hackathons!AB80="","",Hackathons!AB80)</f>
        <v>1</v>
      </c>
      <c r="X27" s="3" t="str">
        <f aca="false">IF(Hackathons!AE80="","",Hackathons!AE80)</f>
        <v>Exclude</v>
      </c>
      <c r="Y27" s="3" t="str">
        <f aca="false">IF(Hackathons!AF80="","",Hackathons!AF80)</f>
        <v>Trophy excluded; credit value tracked</v>
      </c>
    </row>
    <row r="28" customFormat="false" ht="25.35" hidden="false" customHeight="false" outlineLevel="0" collapsed="false">
      <c r="A28" s="3" t="n">
        <f aca="false">Hackathons!A81</f>
        <v>80</v>
      </c>
      <c r="B28" s="3" t="str">
        <f aca="false">Hackathons!B81</f>
        <v>GPT-6 Astra Hackathon: Singapore</v>
      </c>
      <c r="C28" s="3" t="str">
        <f aca="false">Hackathons!AG81</f>
        <v>Best Project — Best Use of GPT-Image-2.5 — US$5,000 OpenAI Credits Each</v>
      </c>
      <c r="D28" s="3" t="str">
        <f aca="false">IF(Hackathons!Q81="","",Hackathons!Q81)</f>
        <v>Best Project</v>
      </c>
      <c r="E28" s="3" t="str">
        <f aca="false">IF(Hackathons!R81="","",Hackathons!R81)</f>
        <v>Best Use of GPT-Image-2.5</v>
      </c>
      <c r="F28" s="6" t="n">
        <f aca="false">IF(Hackathons!AH81="","",Hackathons!AH81)</f>
        <v>2</v>
      </c>
      <c r="G28" s="3" t="str">
        <f aca="false">IF(Hackathons!AI81="","",Hackathons!AI81)</f>
        <v>Per Team Member</v>
      </c>
      <c r="H28" s="7" t="str">
        <f aca="false">IF(Hackathons!S81="","",IF(G28="Per Team Member",Hackathons!S81*F28,Hackathons!S81))</f>
        <v/>
      </c>
      <c r="I28" s="3" t="str">
        <f aca="false">IF(Hackathons!T81="","",Hackathons!T81)</f>
        <v/>
      </c>
      <c r="J28" s="57" t="str">
        <f aca="false">IF(OR(H28="",F28=""),"",H28/F28)</f>
        <v/>
      </c>
      <c r="K28" s="7" t="n">
        <f aca="false">IF(Hackathons!U81="","",IF(G28="Per Team Member",Hackathons!U81*F28,Hackathons!U81))</f>
        <v>10000</v>
      </c>
      <c r="L28" s="3" t="str">
        <f aca="false">IF(Hackathons!V81="","",Hackathons!V81)</f>
        <v>USD</v>
      </c>
      <c r="M28" s="57" t="n">
        <f aca="false">IF(OR(K28="",F28=""),"",K28/F28)</f>
        <v>5000</v>
      </c>
      <c r="N28" s="6" t="str">
        <f aca="false">IF(Hackathons!W81="","",IF(G28="Per Team Member",Hackathons!W81*F28,Hackathons!W81))</f>
        <v/>
      </c>
      <c r="O28" s="7" t="str">
        <f aca="false">IF(Hackathons!X81="","",IF(G28="Per Team Member",Hackathons!X81*F28,Hackathons!X81))</f>
        <v/>
      </c>
      <c r="P28" s="3" t="str">
        <f aca="false">IF(Hackathons!Y81="","",Hackathons!Y81)</f>
        <v/>
      </c>
      <c r="Q28" s="57" t="str">
        <f aca="false">IF(OR(O28="",F28=""),"",O28/F28)</f>
        <v/>
      </c>
      <c r="R28" s="7" t="str">
        <f aca="false">IF(Hackathons!AC81="","",IF(G28="Per Team Member",Hackathons!AC81*F28,Hackathons!AC81))</f>
        <v/>
      </c>
      <c r="S28" s="3" t="str">
        <f aca="false">IF(Hackathons!AD81="","",Hackathons!AD81)</f>
        <v/>
      </c>
      <c r="T28" s="57" t="str">
        <f aca="false">IF(OR(R28="",F28="",F28=0),"",R28/F28)</f>
        <v/>
      </c>
      <c r="U28" s="3" t="str">
        <f aca="false">IF(Hackathons!Z81="","",Hackathons!Z81)</f>
        <v>OpenAI credits</v>
      </c>
      <c r="V28" s="3" t="str">
        <f aca="false">IF(Hackathons!AA81="","",Hackathons!AA81)</f>
        <v/>
      </c>
      <c r="W28" s="6" t="str">
        <f aca="false">IF(Hackathons!AB81="","",Hackathons!AB81)</f>
        <v/>
      </c>
      <c r="X28" s="3" t="str">
        <f aca="false">IF(Hackathons!AE81="","",Hackathons!AE81)</f>
        <v>Exclude</v>
      </c>
      <c r="Y28" s="3" t="str">
        <f aca="false">IF(Hackathons!AF81="","",Hackathons!AF81)</f>
        <v>Credit value tracked</v>
      </c>
    </row>
  </sheetData>
  <mergeCells count="8">
    <mergeCell ref="A1:Y1"/>
    <mergeCell ref="A2:Y2"/>
    <mergeCell ref="A3:C3"/>
    <mergeCell ref="D3:E3"/>
    <mergeCell ref="F3:H3"/>
    <mergeCell ref="I3:J3"/>
    <mergeCell ref="L3:N3"/>
    <mergeCell ref="O3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