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ea3c94b7ae47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e72da61c7dad482a"/>
    <x:sheet xmlns:r="http://schemas.openxmlformats.org/officeDocument/2006/relationships" name="People" sheetId="2" r:id="R486fec5c24a94426"/>
    <x:sheet xmlns:r="http://schemas.openxmlformats.org/officeDocument/2006/relationships" name="Socials" sheetId="3" r:id="Rb170c662b6d84d75"/>
    <x:sheet xmlns:r="http://schemas.openxmlformats.org/officeDocument/2006/relationships" name="Theme Map" sheetId="4" r:id="Red41e681a88243a2"/>
    <x:sheet xmlns:r="http://schemas.openxmlformats.org/officeDocument/2006/relationships" name="Prize Money" sheetId="5" r:id="R1c9cf0af29df4e56"/>
    <x:sheet xmlns:r="http://schemas.openxmlformats.org/officeDocument/2006/relationships" name="Prize Details" sheetId="6" r:id="Rf7c2e01acc31425d"/>
  </x:sheets>
</x:workbook>
</file>

<file path=xl/sharedStrings.xml><?xml version="1.0" encoding="utf-8"?>
<x:sst xmlns:x="http://schemas.openxmlformats.org/spreadsheetml/2006/main">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</x:sst>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3">
    <x:numFmt numFmtId="200" formatCode="#,##0.00"/>
    <x:numFmt numFmtId="201" formatCode="#,##0"/>
    <x:numFmt numFmtId="202" formatCode="d mmm yyyy"/>
  </x:numFmts>
  <x:fonts count="3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  <x:font>
      <x:sz val="10"/>
      <x:color rgb="FF17324D"/>
      <x:name val="Calibri"/>
    </x:font>
    <x:font>
      <x:i/>
      <x:sz val="10"/>
      <x:color rgb="FF5B677A"/>
      <x:name val="Calibri"/>
    </x:font>
    <x:font>
      <x:i/>
      <x:sz val="9"/>
      <x:color rgb="FF6B5D2A"/>
      <x:name val="Calibri"/>
    </x:font>
    <x:font>
      <x:sz val="12"/>
      <x:color rgb="FF233142"/>
      <x:name val="Calibri"/>
    </x:font>
    <x:font>
      <x:i/>
      <x:sz val="10"/>
      <x:color rgb="FF4B5563"/>
      <x:name val="Calibri"/>
    </x:font>
    <x:font>
      <x:sz val="9"/>
      <x:color rgb="FF4B5563"/>
      <x:name val="Calibri"/>
    </x:font>
    <x:font>
      <x:b/>
      <x:i/>
      <x:sz val="9"/>
      <x:color rgb="FF4B5563"/>
      <x:name val="Calibri"/>
    </x:font>
    <x:font>
      <x:b/>
      <x:sz val="10"/>
      <x:color rgb="FFFFFFFF"/>
      <x:name val="Arial"/>
    </x:font>
  </x:fonts>
  <x:fills count="124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22222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536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0" xfId="0" applyNumberFormat="1" applyFont="1" applyFill="1" applyBorder="1" applyAlignment="1">
      <x:alignment vertical="center"/>
    </x:xf>
    <x:xf numFmtId="0" fontId="0" fillId="52" borderId="0" xfId="0" applyNumberFormat="1" applyFont="1" applyFill="1" applyBorder="1"/>
    <x:xf numFmtId="0" fontId="21" fillId="52" borderId="0" xfId="0" applyNumberFormat="1" applyFont="1" applyFill="1" applyBorder="1"/>
    <x:xf numFmtId="0" fontId="21" fillId="52" borderId="0" xfId="0" applyNumberFormat="1" applyFont="1" applyFill="1" applyBorder="1" applyAlignment="1">
      <x:alignment vertical="center"/>
    </x:xf>
    <x:xf numFmtId="0" fontId="0" fillId="53" borderId="0" xfId="0" applyNumberFormat="1" applyFont="1" applyFill="1" applyBorder="1"/>
    <x:xf numFmtId="0" fontId="20" fillId="53" borderId="0" xfId="0" applyNumberFormat="1" applyFont="1" applyFill="1" applyBorder="1"/>
    <x:xf numFmtId="201" fontId="20" fillId="53" borderId="0" xfId="0" applyNumberFormat="1" applyFont="1" applyFill="1" applyBorder="1"/>
    <x:xf numFmtId="201" fontId="20" fillId="53" borderId="0" xfId="0" applyNumberFormat="1" applyFont="1" applyFill="1" applyBorder="1" applyAlignment="1">
      <x:alignment horizontal="center"/>
    </x:xf>
    <x:xf numFmtId="201" fontId="20" fillId="53" borderId="0" xfId="0" applyNumberFormat="1" applyFont="1" applyFill="1" applyBorder="1" applyAlignment="1">
      <x:alignment horizontal="center" vertical="center"/>
    </x:xf>
    <x:xf numFmtId="0" fontId="0" fillId="54" borderId="0" xfId="0" applyNumberFormat="1" applyFont="1" applyFill="1" applyBorder="1"/>
    <x:xf numFmtId="0" fontId="14" fillId="54" borderId="0" xfId="0" applyNumberFormat="1" applyFont="1" applyFill="1" applyBorder="1"/>
    <x:xf numFmtId="0" fontId="1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26" fillId="55" borderId="0" xfId="0" applyNumberFormat="1" applyFont="1" applyFill="1" applyBorder="1"/>
    <x:xf numFmtId="0" fontId="26" fillId="55" borderId="0" xfId="0" applyNumberFormat="1" applyFont="1" applyFill="1" applyBorder="1" applyAlignment="1">
      <x:alignment wrapText="1"/>
    </x:xf>
    <x:xf numFmtId="0" fontId="26" fillId="55" borderId="0" xfId="0" applyNumberFormat="1" applyFont="1" applyFill="1" applyBorder="1" applyAlignment="1">
      <x:alignment vertical="top" wrapText="1"/>
    </x:xf>
    <x:xf numFmtId="0" fontId="0" fillId="56" borderId="0" xfId="0" applyNumberFormat="1" applyFont="1" applyFill="1" applyBorder="1"/>
    <x:xf numFmtId="0" fontId="19" fillId="56" borderId="0" xfId="0" applyNumberFormat="1" applyFont="1" applyFill="1" applyBorder="1"/>
    <x:xf numFmtId="0" fontId="19" fillId="56" borderId="0" xfId="0" applyNumberFormat="1" applyFont="1" applyFill="1" applyBorder="1" applyAlignment="1">
      <x:alignment wrapText="1"/>
    </x:xf>
    <x:xf numFmtId="0" fontId="19" fillId="56" borderId="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4" fillId="57" borderId="0" xfId="0" applyNumberFormat="1" applyFont="1" applyFill="1" applyBorder="1"/>
    <x:xf numFmtId="0" fontId="4" fillId="57" borderId="0" xfId="0" applyNumberFormat="1" applyFont="1" applyFill="1" applyBorder="1" applyAlignment="1">
      <x:alignment vertical="center"/>
    </x:xf>
    <x:xf numFmtId="0" fontId="0" fillId="58" borderId="0" xfId="0" applyNumberFormat="1" applyFont="1" applyFill="1" applyBorder="1"/>
    <x:xf numFmtId="0" fontId="21" fillId="58" borderId="0" xfId="0" applyNumberFormat="1" applyFont="1" applyFill="1" applyBorder="1"/>
    <x:xf numFmtId="0" fontId="21" fillId="58" borderId="0" xfId="0" applyNumberFormat="1" applyFont="1" applyFill="1" applyBorder="1" applyAlignment="1">
      <x:alignment vertical="center"/>
    </x:xf>
    <x:xf numFmtId="0" fontId="0" fillId="59" borderId="0" xfId="0" applyNumberFormat="1" applyFont="1" applyFill="1" applyBorder="1"/>
    <x:xf numFmtId="0" fontId="20" fillId="59" borderId="0" xfId="0" applyNumberFormat="1" applyFont="1" applyFill="1" applyBorder="1"/>
    <x:xf numFmtId="201" fontId="20" fillId="59" borderId="0" xfId="0" applyNumberFormat="1" applyFont="1" applyFill="1" applyBorder="1"/>
    <x:xf numFmtId="201" fontId="20" fillId="59" borderId="0" xfId="0" applyNumberFormat="1" applyFont="1" applyFill="1" applyBorder="1" applyAlignment="1">
      <x:alignment horizontal="center"/>
    </x:xf>
    <x:xf numFmtId="201" fontId="20" fillId="59" borderId="0" xfId="0" applyNumberFormat="1" applyFont="1" applyFill="1" applyBorder="1" applyAlignment="1">
      <x:alignment horizontal="center" vertical="center"/>
    </x:xf>
    <x:xf numFmtId="0" fontId="0" fillId="60" borderId="0" xfId="0" applyNumberFormat="1" applyFont="1" applyFill="1" applyBorder="1"/>
    <x:xf numFmtId="0" fontId="14" fillId="60" borderId="0" xfId="0" applyNumberFormat="1" applyFont="1" applyFill="1" applyBorder="1"/>
    <x:xf numFmtId="0" fontId="14" fillId="60" borderId="0" xfId="0" applyNumberFormat="1" applyFont="1" applyFill="1" applyBorder="1" applyAlignment="1">
      <x:alignment horizontal="center"/>
    </x:xf>
    <x:xf numFmtId="0" fontId="14" fillId="60" borderId="0" xfId="0" applyNumberFormat="1" applyFont="1" applyFill="1" applyBorder="1" applyAlignment="1">
      <x:alignment horizontal="center" vertical="center"/>
    </x:xf>
    <x:xf numFmtId="0" fontId="0" fillId="61" borderId="0" xfId="0" applyNumberFormat="1" applyFont="1" applyFill="1" applyBorder="1"/>
    <x:xf numFmtId="0" fontId="26" fillId="61" borderId="0" xfId="0" applyNumberFormat="1" applyFont="1" applyFill="1" applyBorder="1"/>
    <x:xf numFmtId="0" fontId="26" fillId="61" borderId="0" xfId="0" applyNumberFormat="1" applyFont="1" applyFill="1" applyBorder="1" applyAlignment="1">
      <x:alignment wrapText="1"/>
    </x:xf>
    <x:xf numFmtId="0" fontId="26" fillId="61" borderId="0" xfId="0" applyNumberFormat="1" applyFont="1" applyFill="1" applyBorder="1" applyAlignment="1">
      <x:alignment vertical="center" wrapText="1"/>
    </x:xf>
    <x:xf numFmtId="201" fontId="26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19" fillId="62" borderId="0" xfId="0" applyNumberFormat="1" applyFont="1" applyFill="1" applyBorder="1"/>
    <x:xf numFmtId="0" fontId="19" fillId="62" borderId="0" xfId="0" applyNumberFormat="1" applyFont="1" applyFill="1" applyBorder="1" applyAlignment="1">
      <x:alignment wrapText="1"/>
    </x:xf>
    <x:xf numFmtId="0" fontId="19" fillId="62" borderId="0" xfId="0" applyNumberFormat="1" applyFont="1" applyFill="1" applyBorder="1" applyAlignment="1">
      <x:alignment vertical="center" wrapText="1"/>
    </x:xf>
    <x:xf numFmtId="0" fontId="0" fillId="63" borderId="0" xfId="0" applyNumberFormat="1" applyFont="1" applyFill="1" applyBorder="1"/>
    <x:xf numFmtId="0" fontId="4" fillId="63" borderId="0" xfId="0" applyNumberFormat="1" applyFont="1" applyFill="1" applyBorder="1"/>
    <x:xf numFmtId="0" fontId="4" fillId="63" borderId="0" xfId="0" applyNumberFormat="1" applyFont="1" applyFill="1" applyBorder="1" applyAlignment="1">
      <x:alignment vertical="center"/>
    </x:xf>
    <x:xf numFmtId="0" fontId="0" fillId="64" borderId="0" xfId="0" applyNumberFormat="1" applyFont="1" applyFill="1" applyBorder="1"/>
    <x:xf numFmtId="0" fontId="21" fillId="64" borderId="0" xfId="0" applyNumberFormat="1" applyFont="1" applyFill="1" applyBorder="1"/>
    <x:xf numFmtId="0" fontId="21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20" fillId="65" borderId="0" xfId="0" applyNumberFormat="1" applyFont="1" applyFill="1" applyBorder="1"/>
    <x:xf numFmtId="201" fontId="20" fillId="65" borderId="0" xfId="0" applyNumberFormat="1" applyFont="1" applyFill="1" applyBorder="1"/>
    <x:xf numFmtId="201" fontId="20" fillId="65" borderId="0" xfId="0" applyNumberFormat="1" applyFont="1" applyFill="1" applyBorder="1" applyAlignment="1">
      <x:alignment horizontal="center"/>
    </x:xf>
    <x:xf numFmtId="201" fontId="20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4" fillId="66" borderId="0" xfId="0" applyNumberFormat="1" applyFont="1" applyFill="1" applyBorder="1"/>
    <x:xf numFmtId="0" fontId="14" fillId="66" borderId="0" xfId="0" applyNumberFormat="1" applyFont="1" applyFill="1" applyBorder="1" applyAlignment="1">
      <x:alignment horizontal="center"/>
    </x:xf>
    <x:xf numFmtId="0" fontId="14" fillId="66" borderId="0" xfId="0" applyNumberFormat="1" applyFont="1" applyFill="1" applyBorder="1" applyAlignment="1">
      <x:alignment horizontal="center" vertical="center"/>
    </x:xf>
    <x:xf numFmtId="0" fontId="0" fillId="67" borderId="0" xfId="0" applyNumberFormat="1" applyFont="1" applyFill="1" applyBorder="1"/>
    <x:xf numFmtId="0" fontId="26" fillId="67" borderId="0" xfId="0" applyNumberFormat="1" applyFont="1" applyFill="1" applyBorder="1"/>
    <x:xf numFmtId="0" fontId="26" fillId="67" borderId="0" xfId="0" applyNumberFormat="1" applyFont="1" applyFill="1" applyBorder="1" applyAlignment="1">
      <x:alignment wrapText="1"/>
    </x:xf>
    <x:xf numFmtId="0" fontId="26" fillId="67" borderId="0" xfId="0" applyNumberFormat="1" applyFont="1" applyFill="1" applyBorder="1" applyAlignment="1">
      <x:alignment vertical="center" wrapText="1"/>
    </x:xf>
    <x:xf numFmtId="201" fontId="26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19" fillId="68" borderId="0" xfId="0" applyNumberFormat="1" applyFont="1" applyFill="1" applyBorder="1"/>
    <x:xf numFmtId="0" fontId="19" fillId="68" borderId="0" xfId="0" applyNumberFormat="1" applyFont="1" applyFill="1" applyBorder="1" applyAlignment="1">
      <x:alignment wrapText="1"/>
    </x:xf>
    <x:xf numFmtId="0" fontId="19" fillId="68" borderId="0" xfId="0" applyNumberFormat="1" applyFont="1" applyFill="1" applyBorder="1" applyAlignment="1">
      <x:alignment vertical="center" wrapText="1"/>
    </x:xf>
    <x:xf numFmtId="0" fontId="24" fillId="69" borderId="0" xfId="0" applyNumberFormat="1" applyFont="1" applyFill="1" applyBorder="1" applyAlignment="1">
      <x:alignment vertical="center"/>
    </x:xf>
    <x:xf numFmtId="0" fontId="0" fillId="70" borderId="0" xfId="0" applyNumberFormat="1" applyFont="1" applyFill="1" applyBorder="1"/>
    <x:xf numFmtId="200" fontId="0" fillId="70" borderId="0" xfId="0" applyNumberFormat="1" applyFont="1" applyFill="1" applyBorder="1"/>
    <x:xf numFmtId="200" fontId="0" fillId="7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70" borderId="0" xfId="0" applyNumberFormat="1" applyFont="1" applyFill="1" applyBorder="1" applyAlignment="1">
      <x:alignment vertical="center" wrapText="1"/>
    </x:xf>
    <x:xf numFmtId="0" fontId="0" fillId="71" borderId="0" xfId="0" applyNumberFormat="1" applyFont="1" applyFill="1" applyBorder="1"/>
    <x:xf numFmtId="0" fontId="4" fillId="71" borderId="0" xfId="0" applyNumberFormat="1" applyFont="1" applyFill="1" applyBorder="1"/>
    <x:xf numFmtId="0" fontId="4" fillId="71" borderId="0" xfId="0" applyNumberFormat="1" applyFont="1" applyFill="1" applyBorder="1" applyAlignment="1">
      <x:alignment vertical="center"/>
    </x:xf>
    <x:xf numFmtId="0" fontId="0" fillId="72" borderId="0" xfId="0" applyNumberFormat="1" applyFont="1" applyFill="1" applyBorder="1"/>
    <x:xf numFmtId="0" fontId="14" fillId="72" borderId="0" xfId="0" applyNumberFormat="1" applyFont="1" applyFill="1" applyBorder="1"/>
    <x:xf numFmtId="0" fontId="14" fillId="72" borderId="0" xfId="0" applyNumberFormat="1" applyFont="1" applyFill="1" applyBorder="1" applyAlignment="1">
      <x:alignment horizontal="center"/>
    </x:xf>
    <x:xf numFmtId="0" fontId="14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0" fillId="73" borderId="0" xfId="0" applyNumberFormat="1" applyFont="1" applyFill="1" applyBorder="1" applyAlignment="1">
      <x:alignment vertical="center"/>
    </x:xf>
    <x:xf numFmtId="0" fontId="0" fillId="70" borderId="0" xfId="0" applyNumberFormat="1" applyFont="1" applyFill="1" applyBorder="1" applyAlignment="1">
      <x:alignment vertical="center"/>
    </x:xf>
    <x:xf numFmtId="0" fontId="21" fillId="70" borderId="0" xfId="0" applyNumberFormat="1" applyFont="1" applyFill="1" applyBorder="1" applyAlignment="1">
      <x:alignment vertical="center"/>
    </x:xf>
    <x:xf numFmtId="200" fontId="21" fillId="70" borderId="0" xfId="0" applyNumberFormat="1" applyFont="1" applyFill="1" applyBorder="1" applyAlignment="1">
      <x:alignment vertical="center"/>
    </x:xf>
    <x:xf numFmtId="0" fontId="20" fillId="70" borderId="0" xfId="0" applyNumberFormat="1" applyFont="1" applyFill="1" applyBorder="1" applyAlignment="1">
      <x:alignment vertical="center"/>
    </x:xf>
    <x:xf numFmtId="200" fontId="20" fillId="70" borderId="0" xfId="0" applyNumberFormat="1" applyFont="1" applyFill="1" applyBorder="1" applyAlignment="1">
      <x:alignment vertical="center"/>
    </x:xf>
    <x:xf numFmtId="0" fontId="0" fillId="74" borderId="0" xfId="0" applyNumberFormat="1" applyFont="1" applyFill="1" applyBorder="1"/>
    <x:xf numFmtId="0" fontId="19" fillId="74" borderId="0" xfId="0" applyNumberFormat="1" applyFont="1" applyFill="1" applyBorder="1"/>
    <x:xf numFmtId="0" fontId="19" fillId="74" borderId="0" xfId="0" applyNumberFormat="1" applyFont="1" applyFill="1" applyBorder="1" applyAlignment="1">
      <x:alignment wrapText="1"/>
    </x:xf>
    <x:xf numFmtId="0" fontId="19" fillId="74" borderId="0" xfId="0" applyNumberFormat="1" applyFont="1" applyFill="1" applyBorder="1" applyAlignment="1">
      <x:alignment vertical="center" wrapText="1"/>
    </x:xf>
    <x:xf numFmtId="0" fontId="24" fillId="75" borderId="0" xfId="0" applyNumberFormat="1" applyFont="1" applyFill="1" applyBorder="1" applyAlignment="1">
      <x:alignment vertical="center"/>
    </x:xf>
    <x:xf numFmtId="0" fontId="0" fillId="76" borderId="0" xfId="0" applyNumberFormat="1" applyFont="1" applyFill="1" applyBorder="1"/>
    <x:xf numFmtId="200" fontId="0" fillId="76" borderId="0" xfId="0" applyNumberFormat="1" applyFont="1" applyFill="1" applyBorder="1"/>
    <x:xf numFmtId="200" fontId="0" fillId="76" borderId="0" xfId="0" applyNumberFormat="1" applyFont="1" applyFill="1" applyBorder="1" applyAlignment="1">
      <x:alignment wrapText="1"/>
    </x:xf>
    <x:xf numFmtId="200" fontId="0" fillId="76" borderId="0" xfId="0" applyNumberFormat="1" applyFont="1" applyFill="1" applyBorder="1" applyAlignment="1">
      <x:alignment vertical="center" wrapText="1"/>
    </x:xf>
    <x:xf numFmtId="0" fontId="0" fillId="77" borderId="0" xfId="0" applyNumberFormat="1" applyFont="1" applyFill="1" applyBorder="1"/>
    <x:xf numFmtId="0" fontId="4" fillId="77" borderId="0" xfId="0" applyNumberFormat="1" applyFont="1" applyFill="1" applyBorder="1"/>
    <x:xf numFmtId="0" fontId="4" fillId="77" borderId="0" xfId="0" applyNumberFormat="1" applyFont="1" applyFill="1" applyBorder="1" applyAlignment="1">
      <x:alignment vertical="center"/>
    </x:xf>
    <x:xf numFmtId="0" fontId="0" fillId="78" borderId="0" xfId="0" applyNumberFormat="1" applyFont="1" applyFill="1" applyBorder="1"/>
    <x:xf numFmtId="0" fontId="21" fillId="78" borderId="0" xfId="0" applyNumberFormat="1" applyFont="1" applyFill="1" applyBorder="1"/>
    <x:xf numFmtId="0" fontId="21" fillId="78" borderId="0" xfId="0" applyNumberFormat="1" applyFont="1" applyFill="1" applyBorder="1" applyAlignment="1">
      <x:alignment vertical="center"/>
    </x:xf>
    <x:xf numFmtId="0" fontId="20" fillId="76" borderId="0" xfId="0" applyNumberFormat="1" applyFont="1" applyFill="1" applyBorder="1"/>
    <x:xf numFmtId="200" fontId="20" fillId="76" borderId="0" xfId="0" applyNumberFormat="1" applyFont="1" applyFill="1" applyBorder="1"/>
    <x:xf numFmtId="200" fontId="20" fillId="76" borderId="0" xfId="0" applyNumberFormat="1" applyFont="1" applyFill="1" applyBorder="1" applyAlignment="1">
      <x:alignment horizontal="right"/>
    </x:xf>
    <x:xf numFmtId="200" fontId="20" fillId="76" borderId="0" xfId="0" applyNumberFormat="1" applyFont="1" applyFill="1" applyBorder="1" applyAlignment="1">
      <x:alignment horizontal="right" vertical="center"/>
    </x:xf>
    <x:xf numFmtId="0" fontId="2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200" fontId="0" fillId="80" borderId="0" xfId="0" applyNumberFormat="1" applyFont="1" applyFill="1" applyBorder="1"/>
    <x:xf numFmtId="200" fontId="0" fillId="80" borderId="0" xfId="0" applyNumberFormat="1" applyFont="1" applyFill="1" applyBorder="1" applyAlignment="1">
      <x:alignment wrapText="1"/>
    </x:xf>
    <x:xf numFmtId="200" fontId="0" fillId="80" borderId="0" xfId="0" applyNumberFormat="1" applyFont="1" applyFill="1" applyBorder="1" applyAlignment="1">
      <x:alignment vertical="center" wrapText="1"/>
    </x:xf>
    <x:xf numFmtId="0" fontId="4" fillId="81" borderId="0" xfId="0" applyNumberFormat="1" applyFont="1" applyFill="1" applyBorder="1" applyAlignment="1">
      <x:alignment vertical="center"/>
    </x:xf>
    <x:xf numFmtId="0" fontId="21" fillId="82" borderId="0" xfId="0" applyNumberFormat="1" applyFont="1" applyFill="1" applyBorder="1" applyAlignment="1">
      <x:alignment vertical="center"/>
    </x:xf>
    <x:xf numFmtId="200" fontId="20" fillId="80" borderId="0" xfId="0" applyNumberFormat="1" applyFont="1" applyFill="1" applyBorder="1" applyAlignment="1">
      <x:alignment horizontal="right" vertical="center"/>
    </x:xf>
    <x:xf numFmtId="0" fontId="0" fillId="83" borderId="0" xfId="0" applyNumberFormat="1" applyFont="1" applyFill="1" applyBorder="1"/>
    <x:xf numFmtId="0" fontId="14" fillId="83" borderId="0" xfId="0" applyNumberFormat="1" applyFont="1" applyFill="1" applyBorder="1"/>
    <x:xf numFmtId="0" fontId="14" fillId="83" borderId="0" xfId="0" applyNumberFormat="1" applyFont="1" applyFill="1" applyBorder="1" applyAlignment="1">
      <x:alignment wrapText="1"/>
    </x:xf>
    <x:xf numFmtId="0" fontId="14" fillId="83" borderId="0" xfId="0" applyNumberFormat="1" applyFont="1" applyFill="1" applyBorder="1" applyAlignment="1">
      <x:alignment horizontal="center" wrapText="1"/>
    </x:xf>
    <x:xf numFmtId="0" fontId="14" fillId="83" borderId="0" xfId="0" applyNumberFormat="1" applyFont="1" applyFill="1" applyBorder="1" applyAlignment="1">
      <x:alignment horizontal="center" vertical="center" wrapText="1"/>
    </x:xf>
    <x:xf numFmtId="0" fontId="0" fillId="84" borderId="0" xfId="0" applyNumberFormat="1" applyFont="1" applyFill="1" applyBorder="1"/>
    <x:xf numFmtId="0" fontId="0" fillId="84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 applyAlignment="1">
      <x:alignment vertical="center" wrapText="1"/>
    </x:xf>
    <x:xf numFmtId="0" fontId="24" fillId="85" borderId="0" xfId="0" applyNumberFormat="1" applyFont="1" applyFill="1" applyBorder="1" applyAlignment="1">
      <x:alignment vertical="center"/>
    </x:xf>
    <x:xf numFmtId="0" fontId="0" fillId="86" borderId="0" xfId="0" applyNumberFormat="1" applyFont="1" applyFill="1" applyBorder="1"/>
    <x:xf numFmtId="200" fontId="0" fillId="86" borderId="0" xfId="0" applyNumberFormat="1" applyFont="1" applyFill="1" applyBorder="1"/>
    <x:xf numFmtId="200" fontId="0" fillId="86" borderId="0" xfId="0" applyNumberFormat="1" applyFont="1" applyFill="1" applyBorder="1" applyAlignment="1">
      <x:alignment wrapText="1"/>
    </x:xf>
    <x:xf numFmtId="200" fontId="0" fillId="86" borderId="0" xfId="0" applyNumberFormat="1" applyFont="1" applyFill="1" applyBorder="1" applyAlignment="1">
      <x:alignment vertical="center" wrapText="1"/>
    </x:xf>
    <x:xf numFmtId="0" fontId="14" fillId="87" borderId="0" xfId="0" applyNumberFormat="1" applyFont="1" applyFill="1" applyBorder="1" applyAlignment="1">
      <x:alignment horizontal="center" vertical="center" wrapText="1"/>
    </x:xf>
    <x:xf numFmtId="0" fontId="0" fillId="88" borderId="0" xfId="0" applyNumberFormat="1" applyFont="1" applyFill="1" applyBorder="1" applyAlignment="1">
      <x:alignment vertical="center" wrapText="1"/>
    </x:xf>
    <x:xf numFmtId="0" fontId="24" fillId="89" borderId="0" xfId="0" applyNumberFormat="1" applyFont="1" applyFill="1" applyBorder="1" applyAlignment="1">
      <x:alignment vertical="center"/>
    </x:xf>
    <x:xf numFmtId="0" fontId="0" fillId="90" borderId="0" xfId="0" applyNumberFormat="1" applyFont="1" applyFill="1" applyBorder="1"/>
    <x:xf numFmtId="200" fontId="0" fillId="90" borderId="0" xfId="0" applyNumberFormat="1" applyFont="1" applyFill="1" applyBorder="1"/>
    <x:xf numFmtId="200" fontId="0" fillId="90" borderId="0" xfId="0" applyNumberFormat="1" applyFont="1" applyFill="1" applyBorder="1" applyAlignment="1">
      <x:alignment wrapText="1"/>
    </x:xf>
    <x:xf numFmtId="200" fontId="0" fillId="90" borderId="0" xfId="0" applyNumberFormat="1" applyFont="1" applyFill="1" applyBorder="1" applyAlignment="1">
      <x:alignment vertical="center" wrapText="1"/>
    </x:xf>
    <x:xf numFmtId="0" fontId="14" fillId="91" borderId="0" xfId="0" applyNumberFormat="1" applyFont="1" applyFill="1" applyBorder="1" applyAlignment="1">
      <x:alignment horizontal="center" vertical="center" wrapText="1"/>
    </x:xf>
    <x:xf numFmtId="0" fontId="0" fillId="92" borderId="0" xfId="0" applyNumberFormat="1" applyFont="1" applyFill="1" applyBorder="1" applyAlignment="1">
      <x:alignment vertical="center" wrapText="1"/>
    </x:xf>
    <x:xf numFmtId="0" fontId="24" fillId="93" borderId="0" xfId="0" applyNumberFormat="1" applyFont="1" applyFill="1" applyBorder="1" applyAlignment="1">
      <x:alignment vertical="center"/>
    </x:xf>
    <x:xf numFmtId="0" fontId="0" fillId="94" borderId="0" xfId="0" applyNumberFormat="1" applyFont="1" applyFill="1" applyBorder="1"/>
    <x:xf numFmtId="200" fontId="0" fillId="94" borderId="0" xfId="0" applyNumberFormat="1" applyFont="1" applyFill="1" applyBorder="1"/>
    <x:xf numFmtId="200" fontId="0" fillId="94" borderId="0" xfId="0" applyNumberFormat="1" applyFont="1" applyFill="1" applyBorder="1" applyAlignment="1">
      <x:alignment wrapText="1"/>
    </x:xf>
    <x:xf numFmtId="200" fontId="0" fillId="94" borderId="0" xfId="0" applyNumberFormat="1" applyFont="1" applyFill="1" applyBorder="1" applyAlignment="1">
      <x:alignment vertical="center" wrapText="1"/>
    </x:xf>
    <x:xf numFmtId="0" fontId="14" fillId="91" borderId="0" xfId="0" applyNumberFormat="1" applyFont="1" applyFill="1" applyBorder="1" applyAlignment="1">
      <x:alignment horizontal="center"/>
    </x:xf>
    <x:xf numFmtId="0" fontId="0" fillId="91" borderId="0" xfId="0" applyNumberFormat="1" applyFont="1" applyFill="1" applyBorder="1"/>
    <x:xf numFmtId="0" fontId="14" fillId="91" borderId="0" xfId="0" applyNumberFormat="1" applyFont="1" applyFill="1" applyBorder="1"/>
    <x:xf numFmtId="0" fontId="14" fillId="91" borderId="0" xfId="0" applyNumberFormat="1" applyFont="1" applyFill="1" applyBorder="1" applyAlignment="1">
      <x:alignment horizontal="center" vertical="center"/>
    </x:xf>
    <x:xf numFmtId="0" fontId="0" fillId="94" borderId="0" xfId="0" applyNumberFormat="1" applyFont="1" applyFill="1" applyBorder="1" applyAlignment="1">
      <x:alignment wrapText="1"/>
    </x:xf>
    <x:xf numFmtId="0" fontId="14" fillId="95" borderId="0" xfId="0" applyNumberFormat="1" applyFont="1" applyFill="1" applyBorder="1" applyAlignment="1">
      <x:alignment horizontal="center" vertical="center" wrapText="1"/>
    </x:xf>
    <x:xf numFmtId="0" fontId="0" fillId="96" borderId="0" xfId="0" applyNumberFormat="1" applyFont="1" applyFill="1" applyBorder="1" applyAlignment="1">
      <x:alignment vertical="center" wrapText="1"/>
    </x:xf>
    <x:xf numFmtId="0" fontId="24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200" fontId="0" fillId="98" borderId="0" xfId="0" applyNumberFormat="1" applyFont="1" applyFill="1" applyBorder="1"/>
    <x:xf numFmtId="200" fontId="0" fillId="98" borderId="0" xfId="0" applyNumberFormat="1" applyFont="1" applyFill="1" applyBorder="1" applyAlignment="1">
      <x:alignment wrapText="1"/>
    </x:xf>
    <x:xf numFmtId="200" fontId="0" fillId="98" borderId="0" xfId="0" applyNumberFormat="1" applyFont="1" applyFill="1" applyBorder="1" applyAlignment="1">
      <x:alignment vertical="center" wrapText="1"/>
    </x:xf>
    <x:xf numFmtId="0" fontId="14" fillId="95" borderId="0" xfId="0" applyNumberFormat="1" applyFont="1" applyFill="1" applyBorder="1" applyAlignment="1">
      <x:alignment horizontal="center" vertical="center"/>
    </x:xf>
    <x:xf numFmtId="0" fontId="15" fillId="95" borderId="0" xfId="0" applyNumberFormat="1" applyFont="1" applyFill="1" applyBorder="1" applyAlignment="1">
      <x:alignment horizontal="left" vertical="center"/>
    </x:xf>
    <x:xf numFmtId="0" fontId="0" fillId="95" borderId="0" xfId="0" applyNumberFormat="1" applyFont="1" applyFill="1" applyBorder="1" applyAlignment="1">
      <x:alignment vertical="center"/>
    </x:xf>
    <x:xf numFmtId="0" fontId="22" fillId="95" borderId="0" xfId="0" applyNumberFormat="1" applyFont="1" applyFill="1" applyBorder="1" applyAlignment="1">
      <x:alignment horizontal="left" vertical="center"/>
    </x:xf>
    <x:xf numFmtId="0" fontId="22" fillId="95" borderId="0" xfId="0" applyNumberFormat="1" applyFont="1" applyFill="1" applyBorder="1" applyAlignment="1">
      <x:alignment vertical="center"/>
    </x:xf>
    <x:xf numFmtId="0" fontId="16" fillId="99" borderId="0" xfId="0" applyNumberFormat="1" applyFont="1" applyFill="1" applyBorder="1" applyAlignment="1">
      <x:alignment vertical="center" wrapText="1"/>
    </x:xf>
    <x:xf numFmtId="0" fontId="0" fillId="99" borderId="0" xfId="0" applyNumberFormat="1" applyFont="1" applyFill="1" applyBorder="1"/>
    <x:xf numFmtId="0" fontId="27" fillId="99" borderId="0" xfId="0" applyNumberFormat="1" applyFont="1" applyFill="1" applyBorder="1" applyAlignment="1">
      <x:alignment vertical="center" wrapText="1"/>
    </x:xf>
    <x:xf numFmtId="0" fontId="27" fillId="99" borderId="0" xfId="0" applyNumberFormat="1" applyFont="1" applyFill="1" applyBorder="1"/>
    <x:xf numFmtId="0" fontId="27" fillId="99" borderId="0" xfId="0" applyNumberFormat="1" applyFont="1" applyFill="1" applyBorder="1" applyAlignment="1">
      <x:alignment vertical="center"/>
    </x:xf>
    <x:xf numFmtId="0" fontId="4" fillId="100" borderId="0" xfId="0" applyNumberFormat="1" applyFont="1" applyFill="1" applyBorder="1" applyAlignment="1">
      <x:alignment vertical="center"/>
    </x:xf>
    <x:xf numFmtId="0" fontId="21" fillId="101" borderId="0" xfId="0" applyNumberFormat="1" applyFont="1" applyFill="1" applyBorder="1"/>
    <x:xf numFmtId="0" fontId="21" fillId="101" borderId="0" xfId="0" applyNumberFormat="1" applyFont="1" applyFill="1" applyBorder="1" applyAlignment="1">
      <x:alignment vertical="center"/>
    </x:xf>
    <x:xf numFmtId="200" fontId="20" fillId="98" borderId="0" xfId="0" applyNumberFormat="1" applyFont="1" applyFill="1" applyBorder="1"/>
    <x:xf numFmtId="201" fontId="20" fillId="98" borderId="0" xfId="0" applyNumberFormat="1" applyFont="1" applyFill="1" applyBorder="1"/>
    <x:xf numFmtId="200" fontId="21" fillId="98" borderId="0" xfId="0" applyNumberFormat="1" applyFont="1" applyFill="1" applyBorder="1"/>
    <x:xf numFmtId="201" fontId="21" fillId="98" borderId="0" xfId="0" applyNumberFormat="1" applyFont="1" applyFill="1" applyBorder="1"/>
    <x:xf numFmtId="200" fontId="21" fillId="98" borderId="0" xfId="0" applyNumberFormat="1" applyFont="1" applyFill="1" applyBorder="1" applyAlignment="1">
      <x:alignment horizontal="right"/>
    </x:xf>
    <x:xf numFmtId="200" fontId="21" fillId="98" borderId="0" xfId="0" applyNumberFormat="1" applyFont="1" applyFill="1" applyBorder="1" applyAlignment="1">
      <x:alignment horizontal="right" vertical="center"/>
    </x:xf>
    <x:xf numFmtId="200" fontId="20" fillId="101" borderId="0" xfId="0" applyNumberFormat="1" applyFont="1" applyFill="1" applyBorder="1"/>
    <x:xf numFmtId="201" fontId="20" fillId="101" borderId="0" xfId="0" applyNumberFormat="1" applyFont="1" applyFill="1" applyBorder="1"/>
    <x:xf numFmtId="200" fontId="20" fillId="101" borderId="0" xfId="0" applyNumberFormat="1" applyFont="1" applyFill="1" applyBorder="1" applyAlignment="1">
      <x:alignment vertical="center"/>
    </x:xf>
    <x:xf numFmtId="201" fontId="20" fillId="101" borderId="0" xfId="0" applyNumberFormat="1" applyFont="1" applyFill="1" applyBorder="1" applyAlignment="1">
      <x:alignment vertical="center"/>
    </x:xf>
    <x:xf numFmtId="0" fontId="19" fillId="96" borderId="0" xfId="0" applyNumberFormat="1" applyFont="1" applyFill="1" applyBorder="1" applyAlignment="1">
      <x:alignment wrapText="1"/>
    </x:xf>
    <x:xf numFmtId="0" fontId="28" fillId="96" borderId="0" xfId="0" applyNumberFormat="1" applyFont="1" applyFill="1" applyBorder="1" applyAlignment="1">
      <x:alignment wrapText="1"/>
    </x:xf>
    <x:xf numFmtId="0" fontId="28" fillId="96" borderId="0" xfId="0" applyNumberFormat="1" applyFont="1" applyFill="1" applyBorder="1" applyAlignment="1">
      <x:alignment vertical="center" wrapText="1"/>
    </x:xf>
    <x:xf numFmtId="0" fontId="4" fillId="95" borderId="0" xfId="0" applyNumberFormat="1" applyFont="1" applyFill="1" applyBorder="1"/>
    <x:xf numFmtId="0" fontId="14" fillId="95" borderId="0" xfId="0" applyNumberFormat="1" applyFont="1" applyFill="1" applyBorder="1"/>
    <x:xf numFmtId="0" fontId="14" fillId="95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vertical="center" wrapText="1"/>
    </x:xf>
    <x:xf numFmtId="200" fontId="21" fillId="98" borderId="0" xfId="0" applyNumberFormat="1" applyFont="1" applyFill="1" applyBorder="1" applyAlignment="1">
      <x:alignment wrapText="1"/>
    </x:xf>
    <x:xf numFmtId="200" fontId="21" fillId="98" borderId="0" xfId="0" applyNumberFormat="1" applyFont="1" applyFill="1" applyBorder="1" applyAlignment="1">
      <x:alignment horizontal="right" wrapText="1"/>
    </x:xf>
    <x:xf numFmtId="200" fontId="21" fillId="98" borderId="0" xfId="0" applyNumberFormat="1" applyFont="1" applyFill="1" applyBorder="1" applyAlignment="1">
      <x:alignment horizontal="right" vertical="center" wrapText="1"/>
    </x:xf>
    <x:xf numFmtId="0" fontId="30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vertical="center" wrapText="1"/>
    </x:xf>
    <x:xf numFmtId="201" fontId="20" fillId="101" borderId="0" xfId="0" applyNumberFormat="1" applyFont="1" applyFill="1" applyBorder="1" applyAlignment="1">
      <x:alignment horizontal="center" vertical="center"/>
    </x:xf>
    <x:xf numFmtId="201" fontId="20" fillId="98" borderId="0" xfId="0" applyNumberFormat="1" applyFont="1" applyFill="1" applyBorder="1" applyAlignment="1">
      <x:alignment horizontal="center" vertical="center"/>
    </x:xf>
    <x:xf numFmtId="201" fontId="21" fillId="98" borderId="0" xfId="0" applyNumberFormat="1" applyFont="1" applyFill="1" applyBorder="1" applyAlignment="1">
      <x:alignment horizontal="center" vertical="center"/>
    </x:xf>
    <x:xf numFmtId="201" fontId="21" fillId="98" borderId="0" xfId="0" applyNumberFormat="1" applyFont="1" applyFill="1" applyBorder="1" applyAlignment="1">
      <x:alignment horizontal="right" vertical="center"/>
    </x:xf>
    <x:xf numFmtId="0" fontId="26" fillId="96" borderId="0" xfId="0" applyNumberFormat="1" applyFont="1" applyFill="1" applyBorder="1" applyAlignment="1">
      <x:alignment vertical="center" wrapText="1"/>
    </x:xf>
    <x:xf numFmtId="201" fontId="26" fillId="96" borderId="0" xfId="0" applyNumberFormat="1" applyFont="1" applyFill="1" applyBorder="1" applyAlignment="1">
      <x:alignment vertical="center" wrapText="1"/>
    </x:xf>
    <x:xf numFmtId="0" fontId="0" fillId="95" borderId="0" xfId="0" applyNumberFormat="1" applyFont="1" applyFill="1" applyBorder="1"/>
    <x:xf numFmtId="0" fontId="4" fillId="95" borderId="0" xfId="0" applyNumberFormat="1" applyFont="1" applyFill="1" applyBorder="1" applyAlignment="1">
      <x:alignment horizontal="center" vertical="center"/>
    </x:xf>
    <x:xf numFmtId="0" fontId="4" fillId="95" borderId="0" xfId="0" applyNumberFormat="1" applyFont="1" applyFill="1" applyBorder="1" applyAlignment="1">
      <x:alignment vertical="center"/>
    </x:xf>
    <x:xf numFmtId="0" fontId="25" fillId="101" borderId="0" xfId="0" applyNumberFormat="1" applyFont="1" applyFill="1" applyBorder="1" applyAlignment="1">
      <x:alignment vertical="center"/>
    </x:xf>
    <x:xf numFmtId="200" fontId="20" fillId="98" borderId="0" xfId="0" applyNumberFormat="1" applyFont="1" applyFill="1" applyBorder="1" applyAlignment="1">
      <x:alignment horizontal="right" vertical="center"/>
    </x:xf>
    <x:xf numFmtId="0" fontId="0" fillId="101" borderId="0" xfId="0" applyNumberFormat="1" applyFont="1" applyFill="1" applyBorder="1"/>
    <x:xf numFmtId="0" fontId="25" fillId="101" borderId="0" xfId="0" applyNumberFormat="1" applyFont="1" applyFill="1" applyBorder="1"/>
    <x:xf numFmtId="0" fontId="19" fillId="96" borderId="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28" fillId="96" borderId="0" xfId="0" applyNumberFormat="1" applyFont="1" applyFill="1" applyBorder="1"/>
    <x:xf numFmtId="0" fontId="28" fillId="96" borderId="0" xfId="0" applyNumberFormat="1" applyFont="1" applyFill="1" applyBorder="1" applyAlignment="1">
      <x:alignment vertical="center"/>
    </x:xf>
    <x:xf numFmtId="0" fontId="17" fillId="101" borderId="0" xfId="0" applyNumberFormat="1" applyFont="1" applyFill="1" applyBorder="1"/>
    <x:xf numFmtId="0" fontId="17" fillId="101" borderId="0" xfId="0" applyNumberFormat="1" applyFont="1" applyFill="1" applyBorder="1" applyAlignment="1">
      <x:alignment vertical="center"/>
    </x:xf>
    <x:xf numFmtId="0" fontId="31" fillId="0" borderId="0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0" fontId="31" fillId="0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/>
    </x:xf>
    <x:xf numFmtId="0" fontId="14" fillId="102" borderId="0" xfId="0" applyNumberFormat="1" applyFont="1" applyFill="1" applyBorder="1" applyAlignment="1">
      <x:alignment horizontal="center" vertical="center" wrapText="1"/>
    </x:xf>
    <x:xf numFmtId="0" fontId="0" fillId="103" borderId="0" xfId="0" applyNumberFormat="1" applyFont="1" applyFill="1" applyBorder="1" applyAlignment="1">
      <x:alignment vertical="center" wrapText="1"/>
    </x:xf>
    <x:xf numFmtId="0" fontId="24" fillId="104" borderId="0" xfId="0" applyNumberFormat="1" applyFont="1" applyFill="1" applyBorder="1" applyAlignment="1">
      <x:alignment vertical="center"/>
    </x:xf>
    <x:xf numFmtId="0" fontId="0" fillId="105" borderId="0" xfId="0" applyNumberFormat="1" applyFont="1" applyFill="1" applyBorder="1"/>
    <x:xf numFmtId="200" fontId="0" fillId="105" borderId="0" xfId="0" applyNumberFormat="1" applyFont="1" applyFill="1" applyBorder="1"/>
    <x:xf numFmtId="200" fontId="0" fillId="105" borderId="0" xfId="0" applyNumberFormat="1" applyFont="1" applyFill="1" applyBorder="1" applyAlignment="1">
      <x:alignment wrapText="1"/>
    </x:xf>
    <x:xf numFmtId="200" fontId="0" fillId="105" borderId="0" xfId="0" applyNumberFormat="1" applyFont="1" applyFill="1" applyBorder="1" applyAlignment="1">
      <x:alignment vertical="center" wrapText="1"/>
    </x:xf>
    <x:xf numFmtId="0" fontId="14" fillId="102" borderId="0" xfId="0" applyNumberFormat="1" applyFont="1" applyFill="1" applyBorder="1" applyAlignment="1">
      <x:alignment horizontal="center" vertical="center"/>
    </x:xf>
    <x:xf numFmtId="200" fontId="21" fillId="105" borderId="0" xfId="0" applyNumberFormat="1" applyFont="1" applyFill="1" applyBorder="1" applyAlignment="1">
      <x:alignment horizontal="right" vertical="center" wrapText="1"/>
    </x:xf>
    <x:xf numFmtId="0" fontId="22" fillId="102" borderId="0" xfId="0" applyNumberFormat="1" applyFont="1" applyFill="1" applyBorder="1" applyAlignment="1">
      <x:alignment horizontal="left" vertical="center"/>
    </x:xf>
    <x:xf numFmtId="0" fontId="22" fillId="102" borderId="0" xfId="0" applyNumberFormat="1" applyFont="1" applyFill="1" applyBorder="1" applyAlignment="1">
      <x:alignment vertical="center"/>
    </x:xf>
    <x:xf numFmtId="0" fontId="27" fillId="106" borderId="0" xfId="0" applyNumberFormat="1" applyFont="1" applyFill="1" applyBorder="1" applyAlignment="1">
      <x:alignment vertical="center" wrapText="1"/>
    </x:xf>
    <x:xf numFmtId="0" fontId="27" fillId="106" borderId="0" xfId="0" applyNumberFormat="1" applyFont="1" applyFill="1" applyBorder="1" applyAlignment="1">
      <x:alignment vertical="center"/>
    </x:xf>
    <x:xf numFmtId="0" fontId="4" fillId="107" borderId="0" xfId="0" applyNumberFormat="1" applyFont="1" applyFill="1" applyBorder="1" applyAlignment="1">
      <x:alignment vertical="center"/>
    </x:xf>
    <x:xf numFmtId="0" fontId="21" fillId="108" borderId="0" xfId="0" applyNumberFormat="1" applyFont="1" applyFill="1" applyBorder="1" applyAlignment="1">
      <x:alignment vertical="center"/>
    </x:xf>
    <x:xf numFmtId="200" fontId="21" fillId="105" borderId="0" xfId="0" applyNumberFormat="1" applyFont="1" applyFill="1" applyBorder="1" applyAlignment="1">
      <x:alignment horizontal="right" vertical="center"/>
    </x:xf>
    <x:xf numFmtId="200" fontId="20" fillId="108" borderId="0" xfId="0" applyNumberFormat="1" applyFont="1" applyFill="1" applyBorder="1" applyAlignment="1">
      <x:alignment vertical="center"/>
    </x:xf>
    <x:xf numFmtId="201" fontId="20" fillId="108" borderId="0" xfId="0" applyNumberFormat="1" applyFont="1" applyFill="1" applyBorder="1" applyAlignment="1">
      <x:alignment vertical="center"/>
    </x:xf>
    <x:xf numFmtId="0" fontId="28" fillId="103" borderId="0" xfId="0" applyNumberFormat="1" applyFont="1" applyFill="1" applyBorder="1" applyAlignment="1">
      <x:alignment vertical="center" wrapText="1"/>
    </x:xf>
    <x:xf numFmtId="0" fontId="14" fillId="102" borderId="0" xfId="0" applyNumberFormat="1" applyFont="1" applyFill="1" applyBorder="1" applyAlignment="1">
      <x:alignment vertical="center"/>
    </x:xf>
    <x:xf numFmtId="201" fontId="20" fillId="108" borderId="0" xfId="0" applyNumberFormat="1" applyFont="1" applyFill="1" applyBorder="1" applyAlignment="1">
      <x:alignment horizontal="center" vertical="center"/>
    </x:xf>
    <x:xf numFmtId="201" fontId="21" fillId="108" borderId="0" xfId="0" applyNumberFormat="1" applyFont="1" applyFill="1" applyBorder="1" applyAlignment="1">
      <x:alignment horizontal="right" vertical="center"/>
    </x:xf>
    <x:xf numFmtId="201" fontId="21" fillId="105" borderId="0" xfId="0" applyNumberFormat="1" applyFont="1" applyFill="1" applyBorder="1" applyAlignment="1">
      <x:alignment horizontal="right" vertical="center"/>
    </x:xf>
    <x:xf numFmtId="0" fontId="26" fillId="103" borderId="0" xfId="0" applyNumberFormat="1" applyFont="1" applyFill="1" applyBorder="1" applyAlignment="1">
      <x:alignment vertical="center" wrapText="1"/>
    </x:xf>
    <x:xf numFmtId="201" fontId="26" fillId="103" borderId="0" xfId="0" applyNumberFormat="1" applyFont="1" applyFill="1" applyBorder="1" applyAlignment="1">
      <x:alignment vertical="center" wrapText="1"/>
    </x:xf>
    <x:xf numFmtId="0" fontId="4" fillId="102" borderId="0" xfId="0" applyNumberFormat="1" applyFont="1" applyFill="1" applyBorder="1" applyAlignment="1">
      <x:alignment horizontal="center" vertical="center"/>
    </x:xf>
    <x:xf numFmtId="0" fontId="4" fillId="102" borderId="0" xfId="0" applyNumberFormat="1" applyFont="1" applyFill="1" applyBorder="1" applyAlignment="1">
      <x:alignment vertical="center"/>
    </x:xf>
    <x:xf numFmtId="0" fontId="25" fillId="108" borderId="0" xfId="0" applyNumberFormat="1" applyFont="1" applyFill="1" applyBorder="1" applyAlignment="1">
      <x:alignment vertical="center"/>
    </x:xf>
    <x:xf numFmtId="0" fontId="28" fillId="103" borderId="0" xfId="0" applyNumberFormat="1" applyFont="1" applyFill="1" applyBorder="1" applyAlignment="1">
      <x:alignment vertical="center"/>
    </x:xf>
    <x:xf numFmtId="0" fontId="17" fillId="108" borderId="0" xfId="0" applyNumberFormat="1" applyFont="1" applyFill="1" applyBorder="1" applyAlignment="1">
      <x:alignment vertical="center"/>
    </x:xf>
    <x:xf numFmtId="0" fontId="14" fillId="109" borderId="0" xfId="0" applyNumberFormat="1" applyFont="1" applyFill="1" applyBorder="1" applyAlignment="1">
      <x:alignment horizontal="center" vertical="center" wrapText="1"/>
    </x:xf>
    <x:xf numFmtId="0" fontId="0" fillId="110" borderId="0" xfId="0" applyNumberFormat="1" applyFont="1" applyFill="1" applyBorder="1" applyAlignment="1">
      <x:alignment vertical="center" wrapText="1"/>
    </x:xf>
    <x:xf numFmtId="0" fontId="24" fillId="111" borderId="0" xfId="0" applyNumberFormat="1" applyFont="1" applyFill="1" applyBorder="1" applyAlignment="1">
      <x:alignment vertical="center"/>
    </x:xf>
    <x:xf numFmtId="0" fontId="0" fillId="112" borderId="0" xfId="0" applyNumberFormat="1" applyFont="1" applyFill="1" applyBorder="1"/>
    <x:xf numFmtId="200" fontId="0" fillId="112" borderId="0" xfId="0" applyNumberFormat="1" applyFont="1" applyFill="1" applyBorder="1"/>
    <x:xf numFmtId="200" fontId="0" fillId="112" borderId="0" xfId="0" applyNumberFormat="1" applyFont="1" applyFill="1" applyBorder="1" applyAlignment="1">
      <x:alignment wrapText="1"/>
    </x:xf>
    <x:xf numFmtId="200" fontId="0" fillId="112" borderId="0" xfId="0" applyNumberFormat="1" applyFont="1" applyFill="1" applyBorder="1" applyAlignment="1">
      <x:alignment vertical="center" wrapText="1"/>
    </x:xf>
    <x:xf numFmtId="0" fontId="14" fillId="109" borderId="0" xfId="0" applyNumberFormat="1" applyFont="1" applyFill="1" applyBorder="1" applyAlignment="1">
      <x:alignment horizontal="center" vertical="center"/>
    </x:xf>
    <x:xf numFmtId="200" fontId="21" fillId="112" borderId="0" xfId="0" applyNumberFormat="1" applyFont="1" applyFill="1" applyBorder="1" applyAlignment="1">
      <x:alignment horizontal="right" vertical="center" wrapText="1"/>
    </x:xf>
    <x:xf numFmtId="0" fontId="22" fillId="109" borderId="0" xfId="0" applyNumberFormat="1" applyFont="1" applyFill="1" applyBorder="1" applyAlignment="1">
      <x:alignment horizontal="left" vertical="center"/>
    </x:xf>
    <x:xf numFmtId="0" fontId="22" fillId="109" borderId="0" xfId="0" applyNumberFormat="1" applyFont="1" applyFill="1" applyBorder="1" applyAlignment="1">
      <x:alignment vertical="center"/>
    </x:xf>
    <x:xf numFmtId="0" fontId="27" fillId="113" borderId="0" xfId="0" applyNumberFormat="1" applyFont="1" applyFill="1" applyBorder="1" applyAlignment="1">
      <x:alignment vertical="center" wrapText="1"/>
    </x:xf>
    <x:xf numFmtId="0" fontId="27" fillId="113" borderId="0" xfId="0" applyNumberFormat="1" applyFont="1" applyFill="1" applyBorder="1" applyAlignment="1">
      <x:alignment vertical="center"/>
    </x:xf>
    <x:xf numFmtId="0" fontId="4" fillId="114" borderId="0" xfId="0" applyNumberFormat="1" applyFont="1" applyFill="1" applyBorder="1" applyAlignment="1">
      <x:alignment vertical="center"/>
    </x:xf>
    <x:xf numFmtId="0" fontId="21" fillId="115" borderId="0" xfId="0" applyNumberFormat="1" applyFont="1" applyFill="1" applyBorder="1" applyAlignment="1">
      <x:alignment vertical="center"/>
    </x:xf>
    <x:xf numFmtId="200" fontId="21" fillId="112" borderId="0" xfId="0" applyNumberFormat="1" applyFont="1" applyFill="1" applyBorder="1" applyAlignment="1">
      <x:alignment horizontal="right" vertical="center"/>
    </x:xf>
    <x:xf numFmtId="200" fontId="20" fillId="115" borderId="0" xfId="0" applyNumberFormat="1" applyFont="1" applyFill="1" applyBorder="1" applyAlignment="1">
      <x:alignment vertical="center"/>
    </x:xf>
    <x:xf numFmtId="201" fontId="20" fillId="115" borderId="0" xfId="0" applyNumberFormat="1" applyFont="1" applyFill="1" applyBorder="1" applyAlignment="1">
      <x:alignment vertical="center"/>
    </x:xf>
    <x:xf numFmtId="0" fontId="28" fillId="110" borderId="0" xfId="0" applyNumberFormat="1" applyFont="1" applyFill="1" applyBorder="1" applyAlignment="1">
      <x:alignment vertical="center" wrapText="1"/>
    </x:xf>
    <x:xf numFmtId="0" fontId="14" fillId="109" borderId="0" xfId="0" applyNumberFormat="1" applyFont="1" applyFill="1" applyBorder="1" applyAlignment="1">
      <x:alignment vertical="center"/>
    </x:xf>
    <x:xf numFmtId="201" fontId="20" fillId="115" borderId="0" xfId="0" applyNumberFormat="1" applyFont="1" applyFill="1" applyBorder="1" applyAlignment="1">
      <x:alignment horizontal="center" vertical="center"/>
    </x:xf>
    <x:xf numFmtId="201" fontId="21" fillId="115" borderId="0" xfId="0" applyNumberFormat="1" applyFont="1" applyFill="1" applyBorder="1" applyAlignment="1">
      <x:alignment horizontal="right" vertical="center"/>
    </x:xf>
    <x:xf numFmtId="201" fontId="21" fillId="112" borderId="0" xfId="0" applyNumberFormat="1" applyFont="1" applyFill="1" applyBorder="1" applyAlignment="1">
      <x:alignment horizontal="right" vertical="center"/>
    </x:xf>
    <x:xf numFmtId="0" fontId="26" fillId="110" borderId="0" xfId="0" applyNumberFormat="1" applyFont="1" applyFill="1" applyBorder="1" applyAlignment="1">
      <x:alignment vertical="center" wrapText="1"/>
    </x:xf>
    <x:xf numFmtId="201" fontId="26" fillId="110" borderId="0" xfId="0" applyNumberFormat="1" applyFont="1" applyFill="1" applyBorder="1" applyAlignment="1">
      <x:alignment vertical="center" wrapText="1"/>
    </x:xf>
    <x:xf numFmtId="0" fontId="4" fillId="109" borderId="0" xfId="0" applyNumberFormat="1" applyFont="1" applyFill="1" applyBorder="1" applyAlignment="1">
      <x:alignment horizontal="center" vertical="center"/>
    </x:xf>
    <x:xf numFmtId="0" fontId="4" fillId="109" borderId="0" xfId="0" applyNumberFormat="1" applyFont="1" applyFill="1" applyBorder="1" applyAlignment="1">
      <x:alignment vertical="center"/>
    </x:xf>
    <x:xf numFmtId="0" fontId="25" fillId="115" borderId="0" xfId="0" applyNumberFormat="1" applyFont="1" applyFill="1" applyBorder="1" applyAlignment="1">
      <x:alignment vertical="center"/>
    </x:xf>
    <x:xf numFmtId="0" fontId="28" fillId="110" borderId="0" xfId="0" applyNumberFormat="1" applyFont="1" applyFill="1" applyBorder="1" applyAlignment="1">
      <x:alignment vertical="center"/>
    </x:xf>
    <x:xf numFmtId="0" fontId="17" fillId="115" borderId="0" xfId="0" applyNumberFormat="1" applyFont="1" applyFill="1" applyBorder="1" applyAlignment="1">
      <x:alignment vertical="center"/>
    </x:xf>
    <x:xf numFmtId="0" fontId="32" fillId="115" borderId="0" xfId="0" applyNumberFormat="1" applyFont="1" applyFill="1" applyBorder="1" applyAlignment="1">
      <x:alignment vertical="center"/>
    </x:xf>
    <x:xf numFmtId="0" fontId="14" fillId="116" borderId="0" xfId="0" applyNumberFormat="1" applyFont="1" applyFill="1" applyBorder="1" applyAlignment="1">
      <x:alignment horizontal="center" vertical="center" wrapText="1"/>
    </x:xf>
    <x:xf numFmtId="0" fontId="0" fillId="117" borderId="0" xfId="0" applyNumberFormat="1" applyFont="1" applyFill="1" applyBorder="1" applyAlignment="1">
      <x:alignment vertical="center" wrapText="1"/>
    </x:xf>
    <x:xf numFmtId="0" fontId="24" fillId="118" borderId="0" xfId="0" applyNumberFormat="1" applyFont="1" applyFill="1" applyBorder="1" applyAlignment="1">
      <x:alignment vertical="center"/>
    </x:xf>
    <x:xf numFmtId="0" fontId="0" fillId="119" borderId="0" xfId="0" applyNumberFormat="1" applyFont="1" applyFill="1" applyBorder="1"/>
    <x:xf numFmtId="200" fontId="0" fillId="119" borderId="0" xfId="0" applyNumberFormat="1" applyFont="1" applyFill="1" applyBorder="1"/>
    <x:xf numFmtId="200" fontId="0" fillId="119" borderId="0" xfId="0" applyNumberFormat="1" applyFont="1" applyFill="1" applyBorder="1" applyAlignment="1">
      <x:alignment wrapText="1"/>
    </x:xf>
    <x:xf numFmtId="200" fontId="0" fillId="119" borderId="0" xfId="0" applyNumberFormat="1" applyFont="1" applyFill="1" applyBorder="1" applyAlignment="1">
      <x:alignment vertical="center" wrapText="1"/>
    </x:xf>
    <x:xf numFmtId="0" fontId="14" fillId="116" borderId="0" xfId="0" applyNumberFormat="1" applyFont="1" applyFill="1" applyBorder="1" applyAlignment="1">
      <x:alignment horizontal="center" vertical="center"/>
    </x:xf>
    <x:xf numFmtId="200" fontId="21" fillId="119" borderId="0" xfId="0" applyNumberFormat="1" applyFont="1" applyFill="1" applyBorder="1" applyAlignment="1">
      <x:alignment horizontal="right" vertical="center" wrapText="1"/>
    </x:xf>
    <x:xf numFmtId="0" fontId="22" fillId="116" borderId="0" xfId="0" applyNumberFormat="1" applyFont="1" applyFill="1" applyBorder="1" applyAlignment="1">
      <x:alignment horizontal="left" vertical="center"/>
    </x:xf>
    <x:xf numFmtId="0" fontId="22" fillId="116" borderId="0" xfId="0" applyNumberFormat="1" applyFont="1" applyFill="1" applyBorder="1" applyAlignment="1">
      <x:alignment vertical="center"/>
    </x:xf>
    <x:xf numFmtId="0" fontId="27" fillId="120" borderId="0" xfId="0" applyNumberFormat="1" applyFont="1" applyFill="1" applyBorder="1" applyAlignment="1">
      <x:alignment vertical="center" wrapText="1"/>
    </x:xf>
    <x:xf numFmtId="0" fontId="27" fillId="120" borderId="0" xfId="0" applyNumberFormat="1" applyFont="1" applyFill="1" applyBorder="1" applyAlignment="1">
      <x:alignment vertical="center"/>
    </x:xf>
    <x:xf numFmtId="0" fontId="4" fillId="121" borderId="0" xfId="0" applyNumberFormat="1" applyFont="1" applyFill="1" applyBorder="1" applyAlignment="1">
      <x:alignment vertical="center"/>
    </x:xf>
    <x:xf numFmtId="0" fontId="21" fillId="122" borderId="0" xfId="0" applyNumberFormat="1" applyFont="1" applyFill="1" applyBorder="1" applyAlignment="1">
      <x:alignment vertical="center"/>
    </x:xf>
    <x:xf numFmtId="200" fontId="21" fillId="119" borderId="0" xfId="0" applyNumberFormat="1" applyFont="1" applyFill="1" applyBorder="1" applyAlignment="1">
      <x:alignment horizontal="right" vertical="center"/>
    </x:xf>
    <x:xf numFmtId="200" fontId="20" fillId="122" borderId="0" xfId="0" applyNumberFormat="1" applyFont="1" applyFill="1" applyBorder="1" applyAlignment="1">
      <x:alignment vertical="center"/>
    </x:xf>
    <x:xf numFmtId="201" fontId="20" fillId="122" borderId="0" xfId="0" applyNumberFormat="1" applyFont="1" applyFill="1" applyBorder="1" applyAlignment="1">
      <x:alignment vertical="center"/>
    </x:xf>
    <x:xf numFmtId="0" fontId="28" fillId="117" borderId="0" xfId="0" applyNumberFormat="1" applyFont="1" applyFill="1" applyBorder="1" applyAlignment="1">
      <x:alignment vertical="center" wrapText="1"/>
    </x:xf>
    <x:xf numFmtId="0" fontId="14" fillId="116" borderId="0" xfId="0" applyNumberFormat="1" applyFont="1" applyFill="1" applyBorder="1" applyAlignment="1">
      <x:alignment vertical="center"/>
    </x:xf>
    <x:xf numFmtId="201" fontId="20" fillId="122" borderId="0" xfId="0" applyNumberFormat="1" applyFont="1" applyFill="1" applyBorder="1" applyAlignment="1">
      <x:alignment horizontal="center" vertical="center"/>
    </x:xf>
    <x:xf numFmtId="201" fontId="21" fillId="122" borderId="0" xfId="0" applyNumberFormat="1" applyFont="1" applyFill="1" applyBorder="1" applyAlignment="1">
      <x:alignment horizontal="right" vertical="center"/>
    </x:xf>
    <x:xf numFmtId="201" fontId="21" fillId="119" borderId="0" xfId="0" applyNumberFormat="1" applyFont="1" applyFill="1" applyBorder="1" applyAlignment="1">
      <x:alignment horizontal="right" vertical="center"/>
    </x:xf>
    <x:xf numFmtId="0" fontId="26" fillId="117" borderId="0" xfId="0" applyNumberFormat="1" applyFont="1" applyFill="1" applyBorder="1" applyAlignment="1">
      <x:alignment vertical="center" wrapText="1"/>
    </x:xf>
    <x:xf numFmtId="201" fontId="26" fillId="117" borderId="0" xfId="0" applyNumberFormat="1" applyFont="1" applyFill="1" applyBorder="1" applyAlignment="1">
      <x:alignment vertical="center" wrapText="1"/>
    </x:xf>
    <x:xf numFmtId="0" fontId="4" fillId="116" borderId="0" xfId="0" applyNumberFormat="1" applyFont="1" applyFill="1" applyBorder="1" applyAlignment="1">
      <x:alignment horizontal="center" vertical="center"/>
    </x:xf>
    <x:xf numFmtId="0" fontId="4" fillId="116" borderId="0" xfId="0" applyNumberFormat="1" applyFont="1" applyFill="1" applyBorder="1" applyAlignment="1">
      <x:alignment vertical="center"/>
    </x:xf>
    <x:xf numFmtId="0" fontId="25" fillId="122" borderId="0" xfId="0" applyNumberFormat="1" applyFont="1" applyFill="1" applyBorder="1" applyAlignment="1">
      <x:alignment vertical="center"/>
    </x:xf>
    <x:xf numFmtId="0" fontId="28" fillId="117" borderId="0" xfId="0" applyNumberFormat="1" applyFont="1" applyFill="1" applyBorder="1" applyAlignment="1">
      <x:alignment vertical="center"/>
    </x:xf>
    <x:xf numFmtId="0" fontId="32" fillId="122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1" fontId="0" fillId="8" borderId="0" xfId="0" applyNumberFormat="1" applyFont="1" applyFill="1" applyBorder="1" applyAlignment="1">
      <x:alignment horizont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0" fillId="123" borderId="0" xfId="0" applyNumberFormat="1" applyFont="1" applyFill="1" applyBorder="1"/>
    <x:xf numFmtId="0" fontId="0" fillId="123" borderId="0" xfId="0" applyNumberFormat="1" applyFont="1" applyFill="1" applyBorder="1" applyAlignment="1">
      <x:alignment horizontal="left"/>
    </x:xf>
    <x:xf numFmtId="0" fontId="14" fillId="123" borderId="0" xfId="0" applyNumberFormat="1" applyFont="1" applyFill="1" applyBorder="1" applyAlignment="1">
      <x:alignment horizontal="center" vertical="center" wrapText="1"/>
    </x:xf>
    <x:xf numFmtId="0" fontId="33" fillId="123" borderId="0" xfId="0" applyNumberFormat="1" applyFont="1" applyFill="1" applyBorder="1"/>
    <x:xf numFmtId="0" fontId="33" fillId="123" borderId="0" xfId="0" applyNumberFormat="1" applyFont="1" applyFill="1" applyBorder="1" applyAlignment="1">
      <x:alignment horizontal="left"/>
    </x:xf>
    <x:xf numFmtId="0" fontId="33" fillId="123" borderId="0" xfId="0" applyNumberFormat="1" applyFont="1" applyFill="1" applyBorder="1" applyAlignment="1">
      <x:alignment horizontal="center" vertical="center" wrapText="1"/>
    </x:xf>
    <x:xf numFmtId="0" fontId="33" fillId="123" borderId="0" xfId="0" applyNumberFormat="1" applyFont="1" applyFill="1" applyBorder="1" applyAlignment="1">
      <x:alignment wrapText="1"/>
    </x:xf>
    <x:xf numFmtId="0" fontId="33" fillId="123" borderId="0" xfId="0" applyNumberFormat="1" applyFont="1" applyFill="1" applyBorder="1" applyAlignment="1">
      <x:alignment horizontal="left" wrapText="1"/>
    </x:xf>
    <x:xf numFmtId="0" fontId="33" fillId="123" borderId="0" xfId="0" applyNumberFormat="1" applyFont="1" applyFill="1" applyBorder="1" applyAlignment="1">
      <x:alignment horizont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360ef76d274079" /><Relationship Type="http://schemas.openxmlformats.org/officeDocument/2006/relationships/theme" Target="/xl/theme/theme1.xml" Id="R262f02e054c14656" /><Relationship Type="http://schemas.openxmlformats.org/officeDocument/2006/relationships/sharedStrings" Target="/xl/sharedStrings.xml" Id="R00acafa0d7b4481a" /><Relationship Type="http://schemas.openxmlformats.org/officeDocument/2006/relationships/worksheet" Target="/xl/worksheets/sheet1.xml" Id="Re72da61c7dad482a" /><Relationship Type="http://schemas.openxmlformats.org/officeDocument/2006/relationships/worksheet" Target="/xl/worksheets/sheet2.xml" Id="R486fec5c24a94426" /><Relationship Type="http://schemas.openxmlformats.org/officeDocument/2006/relationships/worksheet" Target="/xl/worksheets/sheet3.xml" Id="Rb170c662b6d84d75" /><Relationship Type="http://schemas.openxmlformats.org/officeDocument/2006/relationships/worksheet" Target="/xl/worksheets/sheet4.xml" Id="Red41e681a88243a2" /><Relationship Type="http://schemas.openxmlformats.org/officeDocument/2006/relationships/worksheet" Target="/xl/worksheets/sheet5.xml" Id="R1c9cf0af29df4e56" /><Relationship Type="http://schemas.openxmlformats.org/officeDocument/2006/relationships/worksheet" Target="/xl/worksheets/sheet6.xml" Id="Rf7c2e01acc31425d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#003"/>
    <x:tableColumn id="2" name="Column2"/>
    <x:tableColumn id="3" name="Column3"/>
    <x:tableColumn id="4" name="https://www.facebook.com/sayyid.iskandar/posts/pfbid02Pe825qMCQjUtnq2pV3hrWkjA4M4d84rnu5A5EcKpJvVgUcryDreMbBctzf1tfRmUl&#10;https://www.facebook.com/sayyid.iskandar/posts/pfbid02cFPjLu46modzujHU2tLgNSXrfdTdnXLLAm35UdVFj8UU7YsW9KQWLoXJinq2ahDxl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Y28" headerRowCount="1" totalsRowCount="0" totalsRowShown="0">
  <x:autoFilter ref="A4:Y28"/>
  <x:tableColumns count="25">
    <x:tableColumn id="1" name="#"/>
    <x:tableColumn id="2" name="Hackathon"/>
    <x:tableColumn id="3" name="Award Summary"/>
    <x:tableColumn id="4" name="Award Type"/>
    <x:tableColumn id="5" name="Additional Info"/>
    <x:tableColumn id="6" name="Hackathon Team Members"/>
    <x:tableColumn id="7" name="Prize Allocation"/>
    <x:tableColumn id="8" name="Team Cash"/>
    <x:tableColumn id="9" name="Cash Currency"/>
    <x:tableColumn id="10" name="Individual Cash"/>
    <x:tableColumn id="11" name="Team Credits"/>
    <x:tableColumn id="12" name="Credit Currency / Units"/>
    <x:tableColumn id="13" name="Individual Credits"/>
    <x:tableColumn id="14" name="Team Subscription Count"/>
    <x:tableColumn id="15" name="Team Subscription Value"/>
    <x:tableColumn id="16" name="Subscription Currency"/>
    <x:tableColumn id="17" name="Individual Subscription Value"/>
    <x:tableColumn id="18" name="Team Funding"/>
    <x:tableColumn id="19" name="Funding Currency"/>
    <x:tableColumn id="20" name="Individual Funding"/>
    <x:tableColumn id="21" name="Other Non-cash Prize"/>
    <x:tableColumn id="22" name="Physical Asset"/>
    <x:tableColumn id="23" name="Trophy Count"/>
    <x:tableColumn id="24" name="Money Counted?"/>
    <x:tableColumn id="25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6f38b84034494ad6" /><Relationship Type="http://schemas.openxmlformats.org/officeDocument/2006/relationships/hyperlink" Target="https://luma.com/tgbspeechmatics1?tk=NaV6RE" TargetMode="External" Id="Re814593afa1c484a" /><Relationship Type="http://schemas.openxmlformats.org/officeDocument/2006/relationships/hyperlink" Target="https://luma.com/bh5iqhnx?tk=17u8ZH" TargetMode="External" Id="Rccbd3b8030fb44e8" /><Relationship Type="http://schemas.openxmlformats.org/officeDocument/2006/relationships/hyperlink" Target="https://github.com/gigradarapp/gr-atlas" TargetMode="External" Id="R899dac60bcd74ec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c565807ee679498e" /><Relationship Type="http://schemas.openxmlformats.org/officeDocument/2006/relationships/hyperlink" Target="https://www.linkedin.com/in/akmal-hakim-teo/" TargetMode="External" Id="R71fad2f457c8464b" /><Relationship Type="http://schemas.openxmlformats.org/officeDocument/2006/relationships/table" Target="/xl/tables/table1.xml" Id="R135a4d7c01274a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f2186b6f4834ff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2f7da744c5a14c47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  <x:col min="35" max="35" width="20" hidden="0" customWidth="1"/>
  </x:cols>
  <x:sheetData>
    <x:row r="1" ht="34" customHeight="1">
      <x:c r="A1" s="532" t="str">
        <x:v>#</x:v>
      </x:c>
      <x:c r="B1" s="532" t="str">
        <x:v>Hackathon</x:v>
      </x:c>
      <x:c r="C1" s="532" t="str">
        <x:v>Organizers</x:v>
      </x:c>
      <x:c r="D1" s="532" t="str">
        <x:v>Date</x:v>
      </x:c>
      <x:c r="E1" s="532" t="str">
        <x:v>Duration</x:v>
      </x:c>
      <x:c r="F1" s="532" t="str">
        <x:v>Unit</x:v>
      </x:c>
      <x:c r="G1" s="532" t="str">
        <x:v>Award</x:v>
      </x:c>
      <x:c r="H1" s="532" t="str">
        <x:v>Theme</x:v>
      </x:c>
      <x:c r="I1" s="532" t="str">
        <x:v>Solution</x:v>
      </x:c>
      <x:c r="J1" s="532" t="str">
        <x:v>Team Members</x:v>
      </x:c>
      <x:c r="K1" s="532" t="str">
        <x:v>Product</x:v>
      </x:c>
      <x:c r="L1" s="532" t="str">
        <x:v>Client</x:v>
      </x:c>
      <x:c r="M1" s="532" t="str">
        <x:v>Country</x:v>
      </x:c>
      <x:c r="N1" s="532" t="str">
        <x:v>Venue</x:v>
      </x:c>
      <x:c r="O1" s="532" t="str">
        <x:v>Source Code</x:v>
      </x:c>
      <x:c r="P1" s="532" t="str">
        <x:v>Event Link</x:v>
      </x:c>
      <x:c r="Q1" s="532" t="str">
        <x:v>Award Type</x:v>
      </x:c>
      <x:c r="R1" s="532" t="str">
        <x:v>Notes</x:v>
      </x:c>
      <x:c r="S1" s="532" t="str">
        <x:v>Cash Equivalent</x:v>
      </x:c>
      <x:c r="T1" s="532" t="str">
        <x:v>Cash Currency</x:v>
      </x:c>
      <x:c r="U1" s="532" t="str">
        <x:v>Credits</x:v>
      </x:c>
      <x:c r="V1" s="532" t="str">
        <x:v>Credit Currency / Units</x:v>
      </x:c>
      <x:c r="W1" s="532" t="str">
        <x:v>Subscriptions</x:v>
      </x:c>
      <x:c r="X1" s="532" t="str">
        <x:v>Subscription Value</x:v>
      </x:c>
      <x:c r="Y1" s="532" t="str">
        <x:v>Subscription Currency</x:v>
      </x:c>
      <x:c r="Z1" s="532" t="str">
        <x:v>Other Non-cash Prizes</x:v>
      </x:c>
      <x:c r="AA1" s="532" t="str">
        <x:v>Physical Prize</x:v>
      </x:c>
      <x:c r="AB1" s="532" t="str">
        <x:v>Trophies</x:v>
      </x:c>
      <x:c r="AC1" s="532" t="str">
        <x:v>Funding</x:v>
      </x:c>
      <x:c r="AD1" s="532" t="str">
        <x:v>Funding Currency</x:v>
      </x:c>
      <x:c r="AE1" s="532" t="str">
        <x:v>Count as Cash?</x:v>
      </x:c>
      <x:c r="AF1" s="532" t="str">
        <x:v>Review Notes</x:v>
      </x:c>
      <x:c r="AG1" s="532" t="str">
        <x:v>Award Summary</x:v>
      </x:c>
      <x:c r="AH1" s="532" t="str">
        <x:v>Team Size</x:v>
      </x:c>
      <x:c r="AI1" s="532" t="str">
        <x:v>Prize Split</x:v>
      </x:c>
    </x:row>
    <x:row r="2">
      <x:c r="A2">
        <x:v>1</x:v>
      </x:c>
      <x:c r="B2" t="s">
        <x:v>0</x:v>
      </x:c>
      <x:c r="C2" t="s">
        <x:v>1</x:v>
      </x:c>
      <x:c r="D2" s="2" t="s">
        <x:v>2</x:v>
      </x:c>
      <x:c r="E2">
        <x:v>3</x:v>
      </x:c>
      <x:c r="F2" t="s">
        <x:v>3</x:v>
      </x:c>
      <x:c r="G2" t="str">
        <x:v>1st Place — S$18,000 Seed Funding</x:v>
      </x:c>
      <x:c r="H2" t="s">
        <x:v>4</x:v>
      </x:c>
      <x:c r="I2" t="s">
        <x:v>5</x:v>
      </x:c>
      <x:c r="J2" t="s">
        <x:v>6</x:v>
      </x:c>
      <x:c r="K2" t="s">
        <x:v>7</x:v>
      </x:c>
      <x:c r="L2" t="s">
        <x:v>8</x:v>
      </x:c>
      <x:c r="M2" t="s">
        <x:v>9</x:v>
      </x:c>
      <x:c r="N2" t="s">
        <x:v>10</x:v>
      </x:c>
      <x:c r="O2" t="s">
        <x:v>8</x:v>
      </x:c>
      <x:c r="P2" t="s">
        <x:v>8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f>G2</x:f>
        <x:v>1st Place — S$18,000 Seed Funding</x:v>
      </x:c>
      <x:c r="AH2" s="214" t="n">
        <x:f>IF(OR(J2="",J2="-"),"",LEN(J2)-LEN(SUBSTITUTE(J2,",",""))+1)</x:f>
        <x:v>5</x:v>
      </x:c>
      <x:c r="AI2" s="493" t="str">
        <x:v>Per Team</x:v>
      </x:c>
    </x:row>
    <x:row r="3">
      <x:c r="A3">
        <x:v>2</x:v>
      </x:c>
      <x:c r="B3" t="s">
        <x:v>11</x:v>
      </x:c>
      <x:c r="C3" t="s">
        <x:v>12</x:v>
      </x:c>
      <x:c r="D3" s="2" t="s">
        <x:v>13</x:v>
      </x:c>
      <x:c r="E3">
        <x:v>1</x:v>
      </x:c>
      <x:c r="F3" t="s">
        <x:v>14</x:v>
      </x:c>
      <x:c r="G3" t="str">
        <x:v>-</x:v>
      </x:c>
      <x:c r="H3" t="s">
        <x:v>4</x:v>
      </x:c>
      <x:c r="I3" t="s">
        <x:v>5</x:v>
      </x:c>
      <x:c r="J3" t="s">
        <x:v>15</x:v>
      </x:c>
      <x:c r="K3" t="s">
        <x:v>16</x:v>
      </x:c>
      <x:c r="L3" t="s">
        <x:v>17</x:v>
      </x:c>
      <x:c r="M3" t="s">
        <x:v>9</x:v>
      </x:c>
      <x:c r="N3" t="s">
        <x:v>18</x:v>
      </x:c>
      <x:c r="O3" t="s">
        <x:v>8</x:v>
      </x:c>
      <x:c r="P3" t="s">
        <x:v>8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  <x:c r="AI3" s="493"/>
    </x:row>
    <x:row r="4">
      <x:c r="A4">
        <x:v>3</x:v>
      </x:c>
      <x:c r="B4" t="s">
        <x:v>19</x:v>
      </x:c>
      <x:c r="C4" t="s">
        <x:v>20</x:v>
      </x:c>
      <x:c r="D4" s="3">
        <x:v>42644</x:v>
      </x:c>
      <x:c r="E4">
        <x:v>2</x:v>
      </x:c>
      <x:c r="F4" t="s">
        <x:v>3</x:v>
      </x:c>
      <x:c r="G4" t="str">
        <x:v>Best Project</x:v>
      </x:c>
      <x:c r="H4" t="s">
        <x:v>21</x:v>
      </x:c>
      <x:c r="I4" t="s">
        <x:v>22</x:v>
      </x:c>
      <x:c r="J4" t="s">
        <x:v>23</x:v>
      </x:c>
      <x:c r="K4" t="s">
        <x:v>24</x:v>
      </x:c>
      <x:c r="L4" t="s">
        <x:v>25</x:v>
      </x:c>
      <x:c r="M4" t="s">
        <x:v>9</x:v>
      </x:c>
      <x:c r="N4" t="s">
        <x:v>26</x:v>
      </x:c>
      <x:c r="O4" t="s">
        <x:v>8</x:v>
      </x:c>
      <x:c r="P4" t="s">
        <x:v>8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f>G4</x:f>
        <x:v>Best Project</x:v>
      </x:c>
      <x:c r="AH4" s="214" t="n">
        <x:f>IF(OR(J4="",J4="-"),"",LEN(J4)-LEN(SUBSTITUTE(J4,",",""))+1)</x:f>
        <x:v>6</x:v>
      </x:c>
      <x:c r="AI4" s="493" t="str">
        <x:v>Per Team</x:v>
      </x:c>
    </x:row>
    <x:row r="5">
      <x:c r="A5">
        <x:v>4</x:v>
      </x:c>
      <x:c r="B5" t="s">
        <x:v>27</x:v>
      </x:c>
      <x:c r="C5" t="s">
        <x:v>28</x:v>
      </x:c>
      <x:c r="D5" s="3">
        <x:v>42675</x:v>
      </x:c>
      <x:c r="E5">
        <x:v>3</x:v>
      </x:c>
      <x:c r="F5" t="s">
        <x:v>3</x:v>
      </x:c>
      <x:c r="G5" t="str">
        <x:v>1st Place — Best Use of IBM Bluemix — US$100,000 IBM Bluemix Credits — SmartWatch</x:v>
      </x:c>
      <x:c r="H5" t="s">
        <x:v>29</x:v>
      </x:c>
      <x:c r="I5" t="s">
        <x:v>30</x:v>
      </x:c>
      <x:c r="J5" t="s">
        <x:v>31</x:v>
      </x:c>
      <x:c r="K5" t="s">
        <x:v>32</x:v>
      </x:c>
      <x:c r="L5" t="s">
        <x:v>33</x:v>
      </x:c>
      <x:c r="M5" t="s">
        <x:v>9</x:v>
      </x:c>
      <x:c r="N5" t="s">
        <x:v>34</x:v>
      </x:c>
      <x:c r="O5" t="s">
        <x:v>8</x:v>
      </x:c>
      <x:c r="P5" t="s">
        <x:v>8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f>G5</x:f>
        <x:v>1st Place — Best Use of IBM Bluemix — US$100,000 IBM Bluemix Credits — SmartWatch</x:v>
      </x:c>
      <x:c r="AH5" s="214" t="n">
        <x:f>IF(OR(J5="",J5="-"),"",LEN(J5)-LEN(SUBSTITUTE(J5,",",""))+1)</x:f>
        <x:v>4</x:v>
      </x:c>
      <x:c r="AI5" s="493" t="str">
        <x:v>Per Team</x:v>
      </x:c>
    </x:row>
    <x:row r="6">
      <x:c r="A6">
        <x:v>5</x:v>
      </x:c>
      <x:c r="B6" t="s">
        <x:v>35</x:v>
      </x:c>
      <x:c r="C6" t="s">
        <x:v>36</x:v>
      </x:c>
      <x:c r="D6" s="3">
        <x:v>42767</x:v>
      </x:c>
      <x:c r="E6">
        <x:v>2</x:v>
      </x:c>
      <x:c r="F6" t="s">
        <x:v>3</x:v>
      </x:c>
      <x:c r="G6" t="str">
        <x:v>-</x:v>
      </x:c>
      <x:c r="H6" t="s">
        <x:v>4</x:v>
      </x:c>
      <x:c r="I6" t="s">
        <x:v>37</x:v>
      </x:c>
      <x:c r="J6" t="s">
        <x:v>38</x:v>
      </x:c>
      <x:c r="K6" t="s">
        <x:v>39</x:v>
      </x:c>
      <x:c r="L6" t="s">
        <x:v>26</x:v>
      </x:c>
      <x:c r="M6" t="s">
        <x:v>9</x:v>
      </x:c>
      <x:c r="N6" t="s">
        <x:v>26</x:v>
      </x:c>
      <x:c r="O6" t="s">
        <x:v>8</x:v>
      </x:c>
      <x:c r="P6" t="s">
        <x:v>8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  <x:c r="AI6" s="493"/>
    </x:row>
    <x:row r="7">
      <x:c r="A7">
        <x:v>6</x:v>
      </x:c>
      <x:c r="B7" t="s">
        <x:v>40</x:v>
      </x:c>
      <x:c r="C7" t="s">
        <x:v>41</x:v>
      </x:c>
      <x:c r="D7" s="2" t="s">
        <x:v>42</x:v>
      </x:c>
      <x:c r="E7">
        <x:v>3</x:v>
      </x:c>
      <x:c r="F7" t="s">
        <x:v>43</x:v>
      </x:c>
      <x:c r="G7" t="str">
        <x:v>-</x:v>
      </x:c>
      <x:c r="H7" t="s">
        <x:v>29</x:v>
      </x:c>
      <x:c r="I7" t="s">
        <x:v>30</x:v>
      </x:c>
      <x:c r="J7" t="s">
        <x:v>44</x:v>
      </x:c>
      <x:c r="K7" t="s">
        <x:v>32</x:v>
      </x:c>
      <x:c r="L7" t="s">
        <x:v>33</x:v>
      </x:c>
      <x:c r="M7" t="s">
        <x:v>9</x:v>
      </x:c>
      <x:c r="N7" t="s">
        <x:v>45</x:v>
      </x:c>
      <x:c r="O7" t="s">
        <x:v>8</x:v>
      </x:c>
      <x:c r="P7" t="s">
        <x:v>8</x:v>
      </x:c>
      <x:c r="Q7" s="36"/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/>
      <x:c r="AF7" s="38"/>
      <x:c r="AG7" s="198"/>
      <x:c r="AH7" s="214" t="n">
        <x:f>IF(OR(J7="",J7="-"),"",LEN(J7)-LEN(SUBSTITUTE(J7,",",""))+1)</x:f>
        <x:v>5</x:v>
      </x:c>
      <x:c r="AI7" s="493"/>
    </x:row>
    <x:row r="8">
      <x:c r="A8">
        <x:v>7</x:v>
      </x:c>
      <x:c r="B8" t="s">
        <x:v>46</x:v>
      </x:c>
      <x:c r="C8" t="s">
        <x:v>47</x:v>
      </x:c>
      <x:c r="D8" s="3">
        <x:v>42826</x:v>
      </x:c>
      <x:c r="E8">
        <x:v>2</x:v>
      </x:c>
      <x:c r="F8" t="s">
        <x:v>3</x:v>
      </x:c>
      <x:c r="G8" t="str">
        <x:v>-</x:v>
      </x:c>
      <x:c r="H8" t="s">
        <x:v>48</x:v>
      </x:c>
      <x:c r="I8" t="s">
        <x:v>49</x:v>
      </x:c>
      <x:c r="J8" t="s">
        <x:v>50</x:v>
      </x:c>
      <x:c r="K8" t="s">
        <x:v>51</x:v>
      </x:c>
      <x:c r="L8" t="s">
        <x:v>8</x:v>
      </x:c>
      <x:c r="M8" t="s">
        <x:v>9</x:v>
      </x:c>
      <x:c r="N8" t="s">
        <x:v>52</x:v>
      </x:c>
      <x:c r="O8" t="s">
        <x:v>8</x:v>
      </x:c>
      <x:c r="P8" t="s">
        <x:v>8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  <x:c r="AI8" s="493"/>
    </x:row>
    <x:row r="9">
      <x:c r="A9">
        <x:v>8</x:v>
      </x:c>
      <x:c r="B9" t="s">
        <x:v>53</x:v>
      </x:c>
      <x:c r="C9" t="s">
        <x:v>26</x:v>
      </x:c>
      <x:c r="D9" s="3">
        <x:v>42856</x:v>
      </x:c>
      <x:c r="E9">
        <x:v>2</x:v>
      </x:c>
      <x:c r="F9" t="s">
        <x:v>3</x:v>
      </x:c>
      <x:c r="G9" t="str">
        <x:v>-</x:v>
      </x:c>
      <x:c r="H9" t="s">
        <x:v>54</x:v>
      </x:c>
      <x:c r="I9" t="s">
        <x:v>55</x:v>
      </x:c>
      <x:c r="J9" t="s">
        <x:v>56</x:v>
      </x:c>
      <x:c r="K9" t="s">
        <x:v>57</x:v>
      </x:c>
      <x:c r="L9" t="s">
        <x:v>8</x:v>
      </x:c>
      <x:c r="M9" t="s">
        <x:v>9</x:v>
      </x:c>
      <x:c r="N9" t="s">
        <x:v>26</x:v>
      </x:c>
      <x:c r="O9" t="s">
        <x:v>8</x:v>
      </x:c>
      <x:c r="P9" t="s">
        <x:v>8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  <x:c r="AI9" s="493"/>
    </x:row>
    <x:row r="10">
      <x:c r="A10">
        <x:v>9</x:v>
      </x:c>
      <x:c r="B10" t="s">
        <x:v>58</x:v>
      </x:c>
      <x:c r="C10" t="s">
        <x:v>59</x:v>
      </x:c>
      <x:c r="D10" s="3">
        <x:v>42856</x:v>
      </x:c>
      <x:c r="E10">
        <x:v>2</x:v>
      </x:c>
      <x:c r="F10" t="s">
        <x:v>3</x:v>
      </x:c>
      <x:c r="G10" t="str">
        <x:v>-</x:v>
      </x:c>
      <x:c r="H10" t="s">
        <x:v>54</x:v>
      </x:c>
      <x:c r="I10" t="s">
        <x:v>60</x:v>
      </x:c>
      <x:c r="J10" t="s">
        <x:v>61</x:v>
      </x:c>
      <x:c r="K10" t="s">
        <x:v>62</x:v>
      </x:c>
      <x:c r="L10" t="s">
        <x:v>8</x:v>
      </x:c>
      <x:c r="M10" t="s">
        <x:v>9</x:v>
      </x:c>
      <x:c r="N10" t="s">
        <x:v>63</x:v>
      </x:c>
      <x:c r="O10" t="s">
        <x:v>8</x:v>
      </x:c>
      <x:c r="P10" t="s">
        <x:v>8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  <x:c r="AI10" s="493"/>
    </x:row>
    <x:row r="11">
      <x:c r="A11">
        <x:v>10</x:v>
      </x:c>
      <x:c r="B11" t="s">
        <x:v>64</x:v>
      </x:c>
      <x:c r="C11" t="s">
        <x:v>65</x:v>
      </x:c>
      <x:c r="D11" s="3">
        <x:v>42979</x:v>
      </x:c>
      <x:c r="E11">
        <x:v>2</x:v>
      </x:c>
      <x:c r="F11" t="s">
        <x:v>3</x:v>
      </x:c>
      <x:c r="G11" t="str">
        <x:v>Best Project</x:v>
      </x:c>
      <x:c r="H11" t="s">
        <x:v>66</x:v>
      </x:c>
      <x:c r="I11" t="s">
        <x:v>67</x:v>
      </x:c>
      <x:c r="J11" t="s">
        <x:v>68</x:v>
      </x:c>
      <x:c r="K11" t="s">
        <x:v>69</x:v>
      </x:c>
      <x:c r="L11" t="s">
        <x:v>70</x:v>
      </x:c>
      <x:c r="M11" t="s">
        <x:v>9</x:v>
      </x:c>
      <x:c r="N11" t="s">
        <x:v>71</x:v>
      </x:c>
      <x:c r="O11" t="s">
        <x:v>8</x:v>
      </x:c>
      <x:c r="P11" t="s">
        <x:v>8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f>G11</x:f>
        <x:v>Best Project</x:v>
      </x:c>
      <x:c r="AH11" s="214" t="n">
        <x:f>IF(OR(J11="",J11="-"),"",LEN(J11)-LEN(SUBSTITUTE(J11,",",""))+1)</x:f>
        <x:v>3</x:v>
      </x:c>
      <x:c r="AI11" s="493" t="str">
        <x:v>Per Team</x:v>
      </x:c>
    </x:row>
    <x:row r="12">
      <x:c r="A12">
        <x:v>11</x:v>
      </x:c>
      <x:c r="B12" t="s">
        <x:v>72</x:v>
      </x:c>
      <x:c r="C12" t="s">
        <x:v>73</x:v>
      </x:c>
      <x:c r="D12" s="3">
        <x:v>43009</x:v>
      </x:c>
      <x:c r="E12">
        <x:v>2</x:v>
      </x:c>
      <x:c r="F12" t="s">
        <x:v>3</x:v>
      </x:c>
      <x:c r="G12" t="str">
        <x:v>-</x:v>
      </x:c>
      <x:c r="H12" t="s">
        <x:v>74</x:v>
      </x:c>
      <x:c r="I12" t="s">
        <x:v>75</x:v>
      </x:c>
      <x:c r="J12" t="s">
        <x:v>76</x:v>
      </x:c>
      <x:c r="K12" t="s">
        <x:v>77</x:v>
      </x:c>
      <x:c r="L12" t="s">
        <x:v>8</x:v>
      </x:c>
      <x:c r="M12" t="s">
        <x:v>9</x:v>
      </x:c>
      <x:c r="N12" t="s">
        <x:v>73</x:v>
      </x:c>
      <x:c r="O12" t="s">
        <x:v>8</x:v>
      </x:c>
      <x:c r="P12" t="s">
        <x:v>8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  <x:c r="AI12" s="493"/>
    </x:row>
    <x:row r="13">
      <x:c r="A13">
        <x:v>12</x:v>
      </x:c>
      <x:c r="B13" t="s">
        <x:v>78</x:v>
      </x:c>
      <x:c r="C13" t="s">
        <x:v>79</x:v>
      </x:c>
      <x:c r="D13" s="3">
        <x:v>43009</x:v>
      </x:c>
      <x:c r="E13">
        <x:v>2</x:v>
      </x:c>
      <x:c r="F13" t="s">
        <x:v>3</x:v>
      </x:c>
      <x:c r="G13" t="str">
        <x:v>-</x:v>
      </x:c>
      <x:c r="H13" t="s">
        <x:v>74</x:v>
      </x:c>
      <x:c r="I13" t="s">
        <x:v>80</x:v>
      </x:c>
      <x:c r="J13" t="s">
        <x:v>81</x:v>
      </x:c>
      <x:c r="K13" t="s">
        <x:v>82</x:v>
      </x:c>
      <x:c r="L13" t="s">
        <x:v>83</x:v>
      </x:c>
      <x:c r="M13" t="s">
        <x:v>9</x:v>
      </x:c>
      <x:c r="N13" t="s">
        <x:v>79</x:v>
      </x:c>
      <x:c r="O13" t="s">
        <x:v>8</x:v>
      </x:c>
      <x:c r="P13" t="s">
        <x:v>8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  <x:c r="AI13" s="493"/>
    </x:row>
    <x:row r="14">
      <x:c r="A14">
        <x:v>13</x:v>
      </x:c>
      <x:c r="B14" t="s">
        <x:v>84</x:v>
      </x:c>
      <x:c r="C14" t="s">
        <x:v>26</x:v>
      </x:c>
      <x:c r="D14" s="3">
        <x:v>43101</x:v>
      </x:c>
      <x:c r="E14">
        <x:v>2</x:v>
      </x:c>
      <x:c r="F14" t="s">
        <x:v>3</x:v>
      </x:c>
      <x:c r="G14" t="str">
        <x:v>-</x:v>
      </x:c>
      <x:c r="H14" t="s">
        <x:v>85</x:v>
      </x:c>
      <x:c r="I14" t="s">
        <x:v>86</x:v>
      </x:c>
      <x:c r="J14" t="s">
        <x:v>87</x:v>
      </x:c>
      <x:c r="K14" t="s">
        <x:v>88</x:v>
      </x:c>
      <x:c r="L14" t="s">
        <x:v>8</x:v>
      </x:c>
      <x:c r="M14" t="s">
        <x:v>9</x:v>
      </x:c>
      <x:c r="N14" t="s">
        <x:v>26</x:v>
      </x:c>
      <x:c r="O14" t="s">
        <x:v>8</x:v>
      </x:c>
      <x:c r="P14" t="s">
        <x:v>8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  <x:c r="AI14" s="493"/>
    </x:row>
    <x:row r="15">
      <x:c r="A15">
        <x:v>14</x:v>
      </x:c>
      <x:c r="B15" t="s">
        <x:v>89</x:v>
      </x:c>
      <x:c r="C15" t="s">
        <x:v>90</x:v>
      </x:c>
      <x:c r="D15" s="3">
        <x:v>43160</x:v>
      </x:c>
      <x:c r="E15">
        <x:v>1</x:v>
      </x:c>
      <x:c r="F15" t="s">
        <x:v>3</x:v>
      </x:c>
      <x:c r="G15" t="str">
        <x:v>3rd Place — S$100 Capitaland Voucher Each</x:v>
      </x:c>
      <x:c r="H15" t="s">
        <x:v>91</x:v>
      </x:c>
      <x:c r="I15" t="s">
        <x:v>92</x:v>
      </x:c>
      <x:c r="J15" t="s">
        <x:v>93</x:v>
      </x:c>
      <x:c r="K15" t="s">
        <x:v>94</x:v>
      </x:c>
      <x:c r="L15" t="s">
        <x:v>8</x:v>
      </x:c>
      <x:c r="M15" t="s">
        <x:v>9</x:v>
      </x:c>
      <x:c r="N15" t="s">
        <x:v>90</x:v>
      </x:c>
      <x:c r="O15" t="s">
        <x:v>8</x:v>
      </x:c>
      <x:c r="P15" t="s">
        <x:v>8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f>G15</x:f>
        <x:v>3rd Place — S$100 Capitaland Voucher Each</x:v>
      </x:c>
      <x:c r="AH15" s="214" t="n">
        <x:f>IF(OR(J15="",J15="-"),"",LEN(J15)-LEN(SUBSTITUTE(J15,",",""))+1)</x:f>
        <x:v>2</x:v>
      </x:c>
      <x:c r="AI15" s="493" t="str">
        <x:v>Per Team Member</x:v>
      </x:c>
    </x:row>
    <x:row r="16">
      <x:c r="A16">
        <x:v>15</x:v>
      </x:c>
      <x:c r="B16" t="s">
        <x:v>95</x:v>
      </x:c>
      <x:c r="C16" t="s">
        <x:v>96</x:v>
      </x:c>
      <x:c r="D16" s="3">
        <x:v>43160</x:v>
      </x:c>
      <x:c r="E16">
        <x:v>2</x:v>
      </x:c>
      <x:c r="F16" t="s">
        <x:v>3</x:v>
      </x:c>
      <x:c r="G16" t="str">
        <x:v>-</x:v>
      </x:c>
      <x:c r="H16" t="s">
        <x:v>97</x:v>
      </x:c>
      <x:c r="I16" t="s">
        <x:v>98</x:v>
      </x:c>
      <x:c r="J16" t="s">
        <x:v>99</x:v>
      </x:c>
      <x:c r="K16" t="s">
        <x:v>100</x:v>
      </x:c>
      <x:c r="L16" t="s">
        <x:v>96</x:v>
      </x:c>
      <x:c r="M16" t="s">
        <x:v>9</x:v>
      </x:c>
      <x:c r="N16" t="s">
        <x:v>18</x:v>
      </x:c>
      <x:c r="O16" t="s">
        <x:v>8</x:v>
      </x:c>
      <x:c r="P16" t="s">
        <x:v>8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  <x:c r="AI16" s="493"/>
    </x:row>
    <x:row r="17">
      <x:c r="A17">
        <x:v>16</x:v>
      </x:c>
      <x:c r="B17" t="s">
        <x:v>101</x:v>
      </x:c>
      <x:c r="C17" t="s">
        <x:v>102</x:v>
      </x:c>
      <x:c r="D17" s="3">
        <x:v>43191</x:v>
      </x:c>
      <x:c r="E17">
        <x:v>2</x:v>
      </x:c>
      <x:c r="F17" t="s">
        <x:v>3</x:v>
      </x:c>
      <x:c r="G17" t="str">
        <x:v>-</x:v>
      </x:c>
      <x:c r="H17" t="s">
        <x:v>103</x:v>
      </x:c>
      <x:c r="I17" t="s">
        <x:v>104</x:v>
      </x:c>
      <x:c r="J17" t="s">
        <x:v>105</x:v>
      </x:c>
      <x:c r="K17" t="s">
        <x:v>106</x:v>
      </x:c>
      <x:c r="L17" t="s">
        <x:v>8</x:v>
      </x:c>
      <x:c r="M17" t="s">
        <x:v>9</x:v>
      </x:c>
      <x:c r="N17" t="s">
        <x:v>107</x:v>
      </x:c>
      <x:c r="O17" t="s">
        <x:v>8</x:v>
      </x:c>
      <x:c r="P17" t="s">
        <x:v>8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  <x:c r="AI17" s="493"/>
    </x:row>
    <x:row r="18">
      <x:c r="A18">
        <x:v>17</x:v>
      </x:c>
      <x:c r="B18" t="s">
        <x:v>108</x:v>
      </x:c>
      <x:c r="C18" t="s">
        <x:v>109</x:v>
      </x:c>
      <x:c r="D18" s="3">
        <x:v>43252</x:v>
      </x:c>
      <x:c r="E18">
        <x:v>2</x:v>
      </x:c>
      <x:c r="F18" t="s">
        <x:v>3</x:v>
      </x:c>
      <x:c r="G18" t="str">
        <x:v>2nd Place — S$600 Cash</x:v>
      </x:c>
      <x:c r="H18" t="s">
        <x:v>110</x:v>
      </x:c>
      <x:c r="I18" t="s">
        <x:v>111</x:v>
      </x:c>
      <x:c r="J18" t="s">
        <x:v>112</x:v>
      </x:c>
      <x:c r="K18" t="s">
        <x:v>113</x:v>
      </x:c>
      <x:c r="L18" t="s">
        <x:v>8</x:v>
      </x:c>
      <x:c r="M18" t="s">
        <x:v>9</x:v>
      </x:c>
      <x:c r="N18" t="s">
        <x:v>114</x:v>
      </x:c>
      <x:c r="O18" t="s">
        <x:v>8</x:v>
      </x:c>
      <x:c r="P18" t="s">
        <x:v>8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f>G18</x:f>
        <x:v>2nd Place — S$600 Cash</x:v>
      </x:c>
      <x:c r="AH18" s="214" t="n">
        <x:f>IF(OR(J18="",J18="-"),"",LEN(J18)-LEN(SUBSTITUTE(J18,",",""))+1)</x:f>
        <x:v>3</x:v>
      </x:c>
      <x:c r="AI18" s="493" t="str">
        <x:v>Per Team</x:v>
      </x:c>
    </x:row>
    <x:row r="19">
      <x:c r="A19">
        <x:v>18</x:v>
      </x:c>
      <x:c r="B19" t="s">
        <x:v>115</x:v>
      </x:c>
      <x:c r="C19" t="s">
        <x:v>116</x:v>
      </x:c>
      <x:c r="D19" s="2" t="s">
        <x:v>117</x:v>
      </x:c>
      <x:c r="E19">
        <x:v>2</x:v>
      </x:c>
      <x:c r="F19" t="s">
        <x:v>3</x:v>
      </x:c>
      <x:c r="G19" t="str">
        <x:v>-</x:v>
      </x:c>
      <x:c r="H19" t="s">
        <x:v>118</x:v>
      </x:c>
      <x:c r="I19" t="s">
        <x:v>119</x:v>
      </x:c>
      <x:c r="J19" t="s">
        <x:v>120</x:v>
      </x:c>
      <x:c r="K19" t="s">
        <x:v>121</x:v>
      </x:c>
      <x:c r="L19" t="s">
        <x:v>8</x:v>
      </x:c>
      <x:c r="M19" t="s">
        <x:v>9</x:v>
      </x:c>
      <x:c r="N19" t="s">
        <x:v>122</x:v>
      </x:c>
      <x:c r="O19" t="s">
        <x:v>8</x:v>
      </x:c>
      <x:c r="P19" t="s">
        <x:v>8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  <x:c r="AI19" s="493"/>
    </x:row>
    <x:row r="20">
      <x:c r="A20">
        <x:v>19</x:v>
      </x:c>
      <x:c r="B20" t="s">
        <x:v>123</x:v>
      </x:c>
      <x:c r="C20" t="s">
        <x:v>79</x:v>
      </x:c>
      <x:c r="D20" s="2" t="s">
        <x:v>124</x:v>
      </x:c>
      <x:c r="E20">
        <x:v>2</x:v>
      </x:c>
      <x:c r="F20" t="s">
        <x:v>3</x:v>
      </x:c>
      <x:c r="G20" t="str">
        <x:v>-</x:v>
      </x:c>
      <x:c r="H20" t="s">
        <x:v>125</x:v>
      </x:c>
      <x:c r="I20" t="s">
        <x:v>126</x:v>
      </x:c>
      <x:c r="J20" t="s">
        <x:v>127</x:v>
      </x:c>
      <x:c r="K20" t="s">
        <x:v>128</x:v>
      </x:c>
      <x:c r="L20" t="s">
        <x:v>8</x:v>
      </x:c>
      <x:c r="M20" t="s">
        <x:v>9</x:v>
      </x:c>
      <x:c r="N20" t="s">
        <x:v>129</x:v>
      </x:c>
      <x:c r="O20" t="s">
        <x:v>8</x:v>
      </x:c>
      <x:c r="P20" t="s">
        <x:v>8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  <x:c r="AI20" s="493"/>
    </x:row>
    <x:row r="21">
      <x:c r="A21">
        <x:v>20</x:v>
      </x:c>
      <x:c r="B21" t="s">
        <x:v>130</x:v>
      </x:c>
      <x:c r="C21" t="s">
        <x:v>131</x:v>
      </x:c>
      <x:c r="D21" s="2" t="s">
        <x:v>132</x:v>
      </x:c>
      <x:c r="E21">
        <x:v>2</x:v>
      </x:c>
      <x:c r="F21" t="s">
        <x:v>3</x:v>
      </x:c>
      <x:c r="G21" t="str">
        <x:v>-</x:v>
      </x:c>
      <x:c r="H21" t="s">
        <x:v>133</x:v>
      </x:c>
      <x:c r="I21" t="s">
        <x:v>134</x:v>
      </x:c>
      <x:c r="J21" t="s">
        <x:v>135</x:v>
      </x:c>
      <x:c r="K21" t="s">
        <x:v>136</x:v>
      </x:c>
      <x:c r="L21" t="s">
        <x:v>8</x:v>
      </x:c>
      <x:c r="M21" t="s">
        <x:v>9</x:v>
      </x:c>
      <x:c r="N21" t="s">
        <x:v>122</x:v>
      </x:c>
      <x:c r="O21" t="s">
        <x:v>8</x:v>
      </x:c>
      <x:c r="P21" t="s">
        <x:v>8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  <x:c r="AI21" s="493"/>
    </x:row>
    <x:row r="22">
      <x:c r="A22">
        <x:v>21</x:v>
      </x:c>
      <x:c r="B22" t="s">
        <x:v>137</x:v>
      </x:c>
      <x:c r="C22" t="s">
        <x:v>90</x:v>
      </x:c>
      <x:c r="D22" s="2" t="s">
        <x:v>138</x:v>
      </x:c>
      <x:c r="E22">
        <x:v>2</x:v>
      </x:c>
      <x:c r="F22" t="s">
        <x:v>3</x:v>
      </x:c>
      <x:c r="G22" t="str">
        <x:v>-</x:v>
      </x:c>
      <x:c r="H22" t="s">
        <x:v>139</x:v>
      </x:c>
      <x:c r="I22" t="s">
        <x:v>140</x:v>
      </x:c>
      <x:c r="J22" t="s">
        <x:v>141</x:v>
      </x:c>
      <x:c r="K22" t="s">
        <x:v>142</x:v>
      </x:c>
      <x:c r="L22" t="s">
        <x:v>8</x:v>
      </x:c>
      <x:c r="M22" t="s">
        <x:v>9</x:v>
      </x:c>
      <x:c r="N22" t="s">
        <x:v>143</x:v>
      </x:c>
      <x:c r="O22" t="s">
        <x:v>8</x:v>
      </x:c>
      <x:c r="P22" t="s">
        <x:v>8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  <x:c r="AI22" s="493"/>
    </x:row>
    <x:row r="23">
      <x:c r="A23">
        <x:v>22</x:v>
      </x:c>
      <x:c r="B23" t="s">
        <x:v>144</x:v>
      </x:c>
      <x:c r="C23" t="s">
        <x:v>145</x:v>
      </x:c>
      <x:c r="D23" s="2" t="s">
        <x:v>146</x:v>
      </x:c>
      <x:c r="E23">
        <x:v>2</x:v>
      </x:c>
      <x:c r="F23" t="s">
        <x:v>3</x:v>
      </x:c>
      <x:c r="G23" t="str">
        <x:v>-</x:v>
      </x:c>
      <x:c r="H23" t="s">
        <x:v>147</x:v>
      </x:c>
      <x:c r="I23" t="s">
        <x:v>148</x:v>
      </x:c>
      <x:c r="J23" t="s">
        <x:v>149</x:v>
      </x:c>
      <x:c r="K23" t="s">
        <x:v>150</x:v>
      </x:c>
      <x:c r="L23" t="s">
        <x:v>8</x:v>
      </x:c>
      <x:c r="M23" t="s">
        <x:v>9</x:v>
      </x:c>
      <x:c r="N23" t="s">
        <x:v>151</x:v>
      </x:c>
      <x:c r="O23" t="s">
        <x:v>8</x:v>
      </x:c>
      <x:c r="P23" t="s">
        <x:v>8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  <x:c r="AI23" s="493"/>
    </x:row>
    <x:row r="24">
      <x:c r="A24">
        <x:v>23</x:v>
      </x:c>
      <x:c r="B24" t="s">
        <x:v>152</x:v>
      </x:c>
      <x:c r="C24" t="s">
        <x:v>26</x:v>
      </x:c>
      <x:c r="D24" s="2" t="s">
        <x:v>153</x:v>
      </x:c>
      <x:c r="E24">
        <x:v>2</x:v>
      </x:c>
      <x:c r="F24" t="s">
        <x:v>3</x:v>
      </x:c>
      <x:c r="G24" t="str">
        <x:v>-</x:v>
      </x:c>
      <x:c r="H24" t="s">
        <x:v>154</x:v>
      </x:c>
      <x:c r="I24" t="s">
        <x:v>155</x:v>
      </x:c>
      <x:c r="J24" t="s">
        <x:v>156</x:v>
      </x:c>
      <x:c r="K24" t="s">
        <x:v>157</x:v>
      </x:c>
      <x:c r="L24" t="s">
        <x:v>8</x:v>
      </x:c>
      <x:c r="M24" t="s">
        <x:v>9</x:v>
      </x:c>
      <x:c r="N24" t="s">
        <x:v>26</x:v>
      </x:c>
      <x:c r="O24" t="s">
        <x:v>8</x:v>
      </x:c>
      <x:c r="P24" t="s">
        <x:v>8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  <x:c r="AI24" s="493"/>
    </x:row>
    <x:row r="25">
      <x:c r="A25">
        <x:v>24</x:v>
      </x:c>
      <x:c r="B25" t="s">
        <x:v>158</x:v>
      </x:c>
      <x:c r="C25" t="s">
        <x:v>79</x:v>
      </x:c>
      <x:c r="D25" s="2" t="s">
        <x:v>153</x:v>
      </x:c>
      <x:c r="E25">
        <x:v>2</x:v>
      </x:c>
      <x:c r="F25" t="s">
        <x:v>3</x:v>
      </x:c>
      <x:c r="G25" t="str">
        <x:v>-</x:v>
      </x:c>
      <x:c r="H25" t="s">
        <x:v>159</x:v>
      </x:c>
      <x:c r="I25" t="s">
        <x:v>160</x:v>
      </x:c>
      <x:c r="J25" t="s">
        <x:v>161</x:v>
      </x:c>
      <x:c r="K25" t="s">
        <x:v>162</x:v>
      </x:c>
      <x:c r="L25" t="s">
        <x:v>8</x:v>
      </x:c>
      <x:c r="M25" t="s">
        <x:v>9</x:v>
      </x:c>
      <x:c r="N25" t="s">
        <x:v>163</x:v>
      </x:c>
      <x:c r="O25" t="s">
        <x:v>8</x:v>
      </x:c>
      <x:c r="P25" t="s">
        <x:v>8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  <x:c r="AI25" s="493"/>
    </x:row>
    <x:row r="26">
      <x:c r="A26">
        <x:v>25</x:v>
      </x:c>
      <x:c r="B26" t="s">
        <x:v>164</x:v>
      </x:c>
      <x:c r="C26" t="s">
        <x:v>165</x:v>
      </x:c>
      <x:c r="D26" s="2" t="s">
        <x:v>166</x:v>
      </x:c>
      <x:c r="E26">
        <x:v>2</x:v>
      </x:c>
      <x:c r="F26" t="s">
        <x:v>3</x:v>
      </x:c>
      <x:c r="G26" t="str">
        <x:v>3rd Place — S$500 Cash</x:v>
      </x:c>
      <x:c r="H26" t="s">
        <x:v>167</x:v>
      </x:c>
      <x:c r="I26" t="s">
        <x:v>168</x:v>
      </x:c>
      <x:c r="J26" t="s">
        <x:v>169</x:v>
      </x:c>
      <x:c r="K26" t="s">
        <x:v>170</x:v>
      </x:c>
      <x:c r="L26" t="s">
        <x:v>109</x:v>
      </x:c>
      <x:c r="M26" t="s">
        <x:v>9</x:v>
      </x:c>
      <x:c r="N26" t="s">
        <x:v>165</x:v>
      </x:c>
      <x:c r="O26" t="s">
        <x:v>8</x:v>
      </x:c>
      <x:c r="P26" t="s">
        <x:v>8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f>G26</x:f>
        <x:v>3rd Place — S$500 Cash</x:v>
      </x:c>
      <x:c r="AH26" s="214" t="n">
        <x:f>IF(OR(J26="",J26="-"),"",LEN(J26)-LEN(SUBSTITUTE(J26,",",""))+1)</x:f>
        <x:v>6</x:v>
      </x:c>
      <x:c r="AI26" s="493" t="str">
        <x:v>Per Team</x:v>
      </x:c>
    </x:row>
    <x:row r="27">
      <x:c r="A27">
        <x:v>26</x:v>
      </x:c>
      <x:c r="B27" t="s">
        <x:v>171</x:v>
      </x:c>
      <x:c r="C27" t="s">
        <x:v>172</x:v>
      </x:c>
      <x:c r="D27" s="2" t="s">
        <x:v>173</x:v>
      </x:c>
      <x:c r="E27">
        <x:v>1</x:v>
      </x:c>
      <x:c r="F27" t="s">
        <x:v>3</x:v>
      </x:c>
      <x:c r="G27" t="str">
        <x:v>-</x:v>
      </x:c>
      <x:c r="H27" t="s">
        <x:v>174</x:v>
      </x:c>
      <x:c r="I27" t="s">
        <x:v>175</x:v>
      </x:c>
      <x:c r="J27" t="s">
        <x:v>176</x:v>
      </x:c>
      <x:c r="K27" t="s">
        <x:v>177</x:v>
      </x:c>
      <x:c r="L27" t="s">
        <x:v>8</x:v>
      </x:c>
      <x:c r="M27" t="s">
        <x:v>9</x:v>
      </x:c>
      <x:c r="N27" t="s">
        <x:v>63</x:v>
      </x:c>
      <x:c r="O27" t="s">
        <x:v>8</x:v>
      </x:c>
      <x:c r="P27" t="s">
        <x:v>8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  <x:c r="AI27" s="493"/>
    </x:row>
    <x:row r="28">
      <x:c r="A28">
        <x:v>27</x:v>
      </x:c>
      <x:c r="B28" t="s">
        <x:v>178</x:v>
      </x:c>
      <x:c r="C28" t="s">
        <x:v>179</x:v>
      </x:c>
      <x:c r="D28" s="2" t="s">
        <x:v>180</x:v>
      </x:c>
      <x:c r="E28">
        <x:v>2</x:v>
      </x:c>
      <x:c r="F28" t="s">
        <x:v>3</x:v>
      </x:c>
      <x:c r="G28" t="str">
        <x:v>-</x:v>
      </x:c>
      <x:c r="H28" t="s">
        <x:v>29</x:v>
      </x:c>
      <x:c r="I28" t="s">
        <x:v>181</x:v>
      </x:c>
      <x:c r="J28" t="s">
        <x:v>182</x:v>
      </x:c>
      <x:c r="K28" t="s">
        <x:v>183</x:v>
      </x:c>
      <x:c r="L28" t="s">
        <x:v>8</x:v>
      </x:c>
      <x:c r="M28" t="s">
        <x:v>9</x:v>
      </x:c>
      <x:c r="N28" t="s">
        <x:v>184</x:v>
      </x:c>
      <x:c r="O28" t="s">
        <x:v>8</x:v>
      </x:c>
      <x:c r="P28" t="s">
        <x:v>8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  <x:c r="AI28" s="493"/>
    </x:row>
    <x:row r="29">
      <x:c r="A29">
        <x:v>28</x:v>
      </x:c>
      <x:c r="B29" t="s">
        <x:v>185</x:v>
      </x:c>
      <x:c r="C29" t="s">
        <x:v>186</x:v>
      </x:c>
      <x:c r="D29" s="2" t="s">
        <x:v>187</x:v>
      </x:c>
      <x:c r="E29">
        <x:v>2.5</x:v>
      </x:c>
      <x:c r="F29" t="s">
        <x:v>3</x:v>
      </x:c>
      <x:c r="G29" t="str">
        <x:v>-</x:v>
      </x:c>
      <x:c r="H29" t="s">
        <x:v>188</x:v>
      </x:c>
      <x:c r="I29" t="s">
        <x:v>189</x:v>
      </x:c>
      <x:c r="J29" t="s">
        <x:v>190</x:v>
      </x:c>
      <x:c r="K29" t="s">
        <x:v>191</x:v>
      </x:c>
      <x:c r="L29" t="s">
        <x:v>8</x:v>
      </x:c>
      <x:c r="M29" t="s">
        <x:v>9</x:v>
      </x:c>
      <x:c r="N29" t="s">
        <x:v>192</x:v>
      </x:c>
      <x:c r="O29" t="s">
        <x:v>8</x:v>
      </x:c>
      <x:c r="P29" t="s">
        <x:v>8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  <x:c r="AI29" s="493"/>
    </x:row>
    <x:row r="30">
      <x:c r="A30">
        <x:v>29</x:v>
      </x:c>
      <x:c r="B30" t="s">
        <x:v>158</x:v>
      </x:c>
      <x:c r="C30" t="s">
        <x:v>193</x:v>
      </x:c>
      <x:c r="D30" s="2" t="s">
        <x:v>194</x:v>
      </x:c>
      <x:c r="E30">
        <x:v>2</x:v>
      </x:c>
      <x:c r="F30" t="s">
        <x:v>3</x:v>
      </x:c>
      <x:c r="G30" t="str">
        <x:v>-</x:v>
      </x:c>
      <x:c r="H30" t="s">
        <x:v>188</x:v>
      </x:c>
      <x:c r="I30" t="s">
        <x:v>195</x:v>
      </x:c>
      <x:c r="J30" t="s">
        <x:v>196</x:v>
      </x:c>
      <x:c r="K30" t="s">
        <x:v>162</x:v>
      </x:c>
      <x:c r="L30" t="s">
        <x:v>8</x:v>
      </x:c>
      <x:c r="M30" t="s">
        <x:v>9</x:v>
      </x:c>
      <x:c r="N30" t="s">
        <x:v>79</x:v>
      </x:c>
      <x:c r="O30" t="s">
        <x:v>8</x:v>
      </x:c>
      <x:c r="P30" t="s">
        <x:v>8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  <x:c r="AI30" s="493"/>
    </x:row>
    <x:row r="31">
      <x:c r="A31">
        <x:v>30</x:v>
      </x:c>
      <x:c r="B31" t="s">
        <x:v>197</x:v>
      </x:c>
      <x:c r="C31" t="s">
        <x:v>198</x:v>
      </x:c>
      <x:c r="D31" s="2" t="s">
        <x:v>199</x:v>
      </x:c>
      <x:c r="E31">
        <x:v>1</x:v>
      </x:c>
      <x:c r="F31" t="s">
        <x:v>3</x:v>
      </x:c>
      <x:c r="G31" t="str">
        <x:v>-</x:v>
      </x:c>
      <x:c r="H31" t="s">
        <x:v>200</x:v>
      </x:c>
      <x:c r="I31" t="s">
        <x:v>201</x:v>
      </x:c>
      <x:c r="J31" t="s">
        <x:v>202</x:v>
      </x:c>
      <x:c r="K31" t="s">
        <x:v>203</x:v>
      </x:c>
      <x:c r="L31" t="s">
        <x:v>8</x:v>
      </x:c>
      <x:c r="M31" t="s">
        <x:v>9</x:v>
      </x:c>
      <x:c r="N31" t="s">
        <x:v>204</x:v>
      </x:c>
      <x:c r="O31" t="s">
        <x:v>8</x:v>
      </x:c>
      <x:c r="P31" t="s">
        <x:v>8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  <x:c r="AI31" s="493"/>
    </x:row>
    <x:row r="32">
      <x:c r="A32">
        <x:v>31</x:v>
      </x:c>
      <x:c r="B32" t="s">
        <x:v>205</x:v>
      </x:c>
      <x:c r="C32" t="s">
        <x:v>206</x:v>
      </x:c>
      <x:c r="D32" s="2" t="s">
        <x:v>207</x:v>
      </x:c>
      <x:c r="E32">
        <x:v>2</x:v>
      </x:c>
      <x:c r="F32" t="s">
        <x:v>3</x:v>
      </x:c>
      <x:c r="G32" t="str">
        <x:v>-</x:v>
      </x:c>
      <x:c r="H32" t="s">
        <x:v>208</x:v>
      </x:c>
      <x:c r="I32" t="s">
        <x:v>209</x:v>
      </x:c>
      <x:c r="J32" t="s">
        <x:v>210</x:v>
      </x:c>
      <x:c r="K32" t="s">
        <x:v>211</x:v>
      </x:c>
      <x:c r="L32" t="s">
        <x:v>8</x:v>
      </x:c>
      <x:c r="M32" t="s">
        <x:v>9</x:v>
      </x:c>
      <x:c r="N32" t="s">
        <x:v>206</x:v>
      </x:c>
      <x:c r="O32" t="s">
        <x:v>8</x:v>
      </x:c>
      <x:c r="P32" t="s">
        <x:v>8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  <x:c r="AI32" s="493"/>
    </x:row>
    <x:row r="33">
      <x:c r="A33">
        <x:v>32</x:v>
      </x:c>
      <x:c r="B33" t="s">
        <x:v>212</x:v>
      </x:c>
      <x:c r="C33" t="s">
        <x:v>213</x:v>
      </x:c>
      <x:c r="D33" s="2" t="s">
        <x:v>214</x:v>
      </x:c>
      <x:c r="E33">
        <x:v>2</x:v>
      </x:c>
      <x:c r="F33" t="s">
        <x:v>3</x:v>
      </x:c>
      <x:c r="G33"/>
      <x:c r="H33" t="s">
        <x:v>215</x:v>
      </x:c>
      <x:c r="I33" t="s">
        <x:v>216</x:v>
      </x:c>
      <x:c r="J33" t="s">
        <x:v>217</x:v>
      </x:c>
      <x:c r="K33" t="s">
        <x:v>218</x:v>
      </x:c>
      <x:c r="L33" t="s">
        <x:v>213</x:v>
      </x:c>
      <x:c r="M33" t="s">
        <x:v>9</x:v>
      </x:c>
      <x:c r="N33" t="s">
        <x:v>219</x:v>
      </x:c>
      <x:c r="O33" t="s">
        <x:v>8</x:v>
      </x:c>
      <x:c r="P33" t="s">
        <x:v>8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  <x:c r="AI33" s="493"/>
    </x:row>
    <x:row r="34">
      <x:c r="A34">
        <x:v>33</x:v>
      </x:c>
      <x:c r="B34" t="s">
        <x:v>212</x:v>
      </x:c>
      <x:c r="C34" t="s">
        <x:v>213</x:v>
      </x:c>
      <x:c r="D34" s="2" t="s">
        <x:v>214</x:v>
      </x:c>
      <x:c r="E34">
        <x:v>2</x:v>
      </x:c>
      <x:c r="F34" t="s">
        <x:v>3</x:v>
      </x:c>
      <x:c r="G34" t="str">
        <x:v>3rd Place — S$250 Cash</x:v>
      </x:c>
      <x:c r="H34" t="s">
        <x:v>215</x:v>
      </x:c>
      <x:c r="I34" t="s">
        <x:v>220</x:v>
      </x:c>
      <x:c r="J34" t="s">
        <x:v>221</x:v>
      </x:c>
      <x:c r="K34" t="s">
        <x:v>222</x:v>
      </x:c>
      <x:c r="L34" t="s">
        <x:v>213</x:v>
      </x:c>
      <x:c r="M34" t="s">
        <x:v>9</x:v>
      </x:c>
      <x:c r="N34" t="s">
        <x:v>219</x:v>
      </x:c>
      <x:c r="O34" t="s">
        <x:v>8</x:v>
      </x:c>
      <x:c r="P34" t="s">
        <x:v>8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f>G34</x:f>
        <x:v>3rd Place — S$250 Cash</x:v>
      </x:c>
      <x:c r="AH34" s="214" t="n">
        <x:f>IF(OR(J34="",J34="-"),"",LEN(J34)-LEN(SUBSTITUTE(J34,",",""))+1)</x:f>
        <x:v>2</x:v>
      </x:c>
      <x:c r="AI34" s="493" t="str">
        <x:v>Per Team</x:v>
      </x:c>
    </x:row>
    <x:row r="35">
      <x:c r="A35">
        <x:v>34</x:v>
      </x:c>
      <x:c r="B35" t="s">
        <x:v>223</x:v>
      </x:c>
      <x:c r="C35" t="s">
        <x:v>224</x:v>
      </x:c>
      <x:c r="D35" s="2" t="s">
        <x:v>225</x:v>
      </x:c>
      <x:c r="E35">
        <x:v>2</x:v>
      </x:c>
      <x:c r="F35" t="s">
        <x:v>3</x:v>
      </x:c>
      <x:c r="G35" t="str">
        <x:v>-</x:v>
      </x:c>
      <x:c r="H35" t="s">
        <x:v>4</x:v>
      </x:c>
      <x:c r="I35" t="s">
        <x:v>226</x:v>
      </x:c>
      <x:c r="J35" t="s">
        <x:v>227</x:v>
      </x:c>
      <x:c r="K35" t="s">
        <x:v>228</x:v>
      </x:c>
      <x:c r="L35" t="s">
        <x:v>8</x:v>
      </x:c>
      <x:c r="M35" t="s">
        <x:v>9</x:v>
      </x:c>
      <x:c r="N35" t="s">
        <x:v>229</x:v>
      </x:c>
      <x:c r="O35" t="s">
        <x:v>230</x:v>
      </x:c>
      <x:c r="P35" t="s">
        <x:v>8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  <x:c r="AI35" s="493"/>
    </x:row>
    <x:row r="36">
      <x:c r="A36">
        <x:v>35</x:v>
      </x:c>
      <x:c r="B36" t="s">
        <x:v>231</x:v>
      </x:c>
      <x:c r="C36" t="s">
        <x:v>232</x:v>
      </x:c>
      <x:c r="D36" s="2" t="s">
        <x:v>233</x:v>
      </x:c>
      <x:c r="E36">
        <x:v>2</x:v>
      </x:c>
      <x:c r="F36" t="s">
        <x:v>3</x:v>
      </x:c>
      <x:c r="G36" t="str">
        <x:v>2nd Place — S$1,000 Cash</x:v>
      </x:c>
      <x:c r="H36" t="s">
        <x:v>234</x:v>
      </x:c>
      <x:c r="I36" t="s">
        <x:v>235</x:v>
      </x:c>
      <x:c r="J36" t="s">
        <x:v>236</x:v>
      </x:c>
      <x:c r="K36" t="s">
        <x:v>237</x:v>
      </x:c>
      <x:c r="L36" t="s">
        <x:v>8</x:v>
      </x:c>
      <x:c r="M36" t="s">
        <x:v>9</x:v>
      </x:c>
      <x:c r="N36" t="s">
        <x:v>232</x:v>
      </x:c>
      <x:c r="O36" t="s">
        <x:v>238</x:v>
      </x:c>
      <x:c r="P36" t="s">
        <x:v>8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f>G36</x:f>
        <x:v>2nd Place — S$1,000 Cash</x:v>
      </x:c>
      <x:c r="AH36" s="214" t="n">
        <x:f>IF(OR(J36="",J36="-"),"",LEN(J36)-LEN(SUBSTITUTE(J36,",",""))+1)</x:f>
        <x:v>4</x:v>
      </x:c>
      <x:c r="AI36" s="493" t="str">
        <x:v>Per Team</x:v>
      </x:c>
    </x:row>
    <x:row r="37">
      <x:c r="A37">
        <x:v>36</x:v>
      </x:c>
      <x:c r="B37" t="s">
        <x:v>239</x:v>
      </x:c>
      <x:c r="C37" t="s">
        <x:v>240</x:v>
      </x:c>
      <x:c r="D37" s="2" t="s">
        <x:v>241</x:v>
      </x:c>
      <x:c r="E37">
        <x:v>3</x:v>
      </x:c>
      <x:c r="F37" t="s">
        <x:v>3</x:v>
      </x:c>
      <x:c r="G37" t="str">
        <x:v>-</x:v>
      </x:c>
      <x:c r="H37" t="s">
        <x:v>242</x:v>
      </x:c>
      <x:c r="I37" t="s">
        <x:v>243</x:v>
      </x:c>
      <x:c r="J37" t="s">
        <x:v>244</x:v>
      </x:c>
      <x:c r="K37" t="s">
        <x:v>245</x:v>
      </x:c>
      <x:c r="L37" t="s">
        <x:v>246</x:v>
      </x:c>
      <x:c r="M37" t="s">
        <x:v>9</x:v>
      </x:c>
      <x:c r="N37" t="s">
        <x:v>247</x:v>
      </x:c>
      <x:c r="O37" s="1" t="s">
        <x:v>248</x:v>
      </x:c>
      <x:c r="P37" t="s">
        <x:v>8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  <x:c r="AI37" s="493"/>
    </x:row>
    <x:row r="38">
      <x:c r="A38">
        <x:v>37</x:v>
      </x:c>
      <x:c r="B38" t="s">
        <x:v>249</x:v>
      </x:c>
      <x:c r="C38" t="s">
        <x:v>250</x:v>
      </x:c>
      <x:c r="D38" s="2" t="s">
        <x:v>251</x:v>
      </x:c>
      <x:c r="E38">
        <x:v>1</x:v>
      </x:c>
      <x:c r="F38" t="s">
        <x:v>3</x:v>
      </x:c>
      <x:c r="G38" t="str">
        <x:v>-</x:v>
      </x:c>
      <x:c r="H38" t="s">
        <x:v>242</x:v>
      </x:c>
      <x:c r="I38" t="s">
        <x:v>252</x:v>
      </x:c>
      <x:c r="J38" t="s">
        <x:v>244</x:v>
      </x:c>
      <x:c r="K38" t="s">
        <x:v>253</x:v>
      </x:c>
      <x:c r="L38" t="s">
        <x:v>254</x:v>
      </x:c>
      <x:c r="M38" t="s">
        <x:v>9</x:v>
      </x:c>
      <x:c r="N38" t="s">
        <x:v>250</x:v>
      </x:c>
      <x:c r="O38" t="s">
        <x:v>255</x:v>
      </x:c>
      <x:c r="P38" t="s">
        <x:v>8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  <x:c r="AI38" s="493"/>
    </x:row>
    <x:row r="39">
      <x:c r="A39">
        <x:v>38</x:v>
      </x:c>
      <x:c r="B39" t="s">
        <x:v>256</x:v>
      </x:c>
      <x:c r="C39" t="s">
        <x:v>257</x:v>
      </x:c>
      <x:c r="D39" s="2" t="s">
        <x:v>258</x:v>
      </x:c>
      <x:c r="E39">
        <x:v>1</x:v>
      </x:c>
      <x:c r="F39" t="s">
        <x:v>3</x:v>
      </x:c>
      <x:c r="G39" t="str">
        <x:v>2nd Place — Manus Pro Subscription (US$39/month each)</x:v>
      </x:c>
      <x:c r="H39" t="s">
        <x:v>259</x:v>
      </x:c>
      <x:c r="I39" t="s">
        <x:v>260</x:v>
      </x:c>
      <x:c r="J39" t="s">
        <x:v>244</x:v>
      </x:c>
      <x:c r="K39" t="s">
        <x:v>261</x:v>
      </x:c>
      <x:c r="L39" t="s">
        <x:v>262</x:v>
      </x:c>
      <x:c r="M39" t="s">
        <x:v>9</x:v>
      </x:c>
      <x:c r="N39" t="s">
        <x:v>263</x:v>
      </x:c>
      <x:c r="O39" t="s">
        <x:v>264</x:v>
      </x:c>
      <x:c r="P39" t="s">
        <x:v>8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f>G39</x:f>
        <x:v>2nd Place — Manus Pro Subscription (US$39/month each)</x:v>
      </x:c>
      <x:c r="AH39" s="214" t="n">
        <x:f>IF(OR(J39="",J39="-"),"",LEN(J39)-LEN(SUBSTITUTE(J39,",",""))+1)</x:f>
        <x:v>4</x:v>
      </x:c>
      <x:c r="AI39" s="493" t="str">
        <x:v>Per Team Member</x:v>
      </x:c>
    </x:row>
    <x:row r="40">
      <x:c r="A40">
        <x:v>39</x:v>
      </x:c>
      <x:c r="B40" t="s">
        <x:v>265</x:v>
      </x:c>
      <x:c r="C40" t="s">
        <x:v>266</x:v>
      </x:c>
      <x:c r="D40" s="2" t="s">
        <x:v>267</x:v>
      </x:c>
      <x:c r="E40">
        <x:v>1</x:v>
      </x:c>
      <x:c r="F40" t="s">
        <x:v>3</x:v>
      </x:c>
      <x:c r="G40" t="str">
        <x:v>-</x:v>
      </x:c>
      <x:c r="H40" t="s">
        <x:v>242</x:v>
      </x:c>
      <x:c r="I40" t="s">
        <x:v>268</x:v>
      </x:c>
      <x:c r="J40" t="s">
        <x:v>269</x:v>
      </x:c>
      <x:c r="K40" t="s">
        <x:v>270</x:v>
      </x:c>
      <x:c r="L40" t="s">
        <x:v>8</x:v>
      </x:c>
      <x:c r="M40" t="s">
        <x:v>9</x:v>
      </x:c>
      <x:c r="N40" t="s">
        <x:v>263</x:v>
      </x:c>
      <x:c r="O40" t="s">
        <x:v>271</x:v>
      </x:c>
      <x:c r="P40" t="s">
        <x:v>8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  <x:c r="AI40" s="493"/>
    </x:row>
    <x:row r="41">
      <x:c r="A41">
        <x:v>40</x:v>
      </x:c>
      <x:c r="B41" t="s">
        <x:v>272</x:v>
      </x:c>
      <x:c r="C41" t="s">
        <x:v>273</x:v>
      </x:c>
      <x:c r="D41" s="2" t="s">
        <x:v>274</x:v>
      </x:c>
      <x:c r="E41">
        <x:v>1</x:v>
      </x:c>
      <x:c r="F41" t="s">
        <x:v>3</x:v>
      </x:c>
      <x:c r="G41" t="str">
        <x:v>Novel Hackathon Finisher — Trophy</x:v>
      </x:c>
      <x:c r="H41" t="s">
        <x:v>275</x:v>
      </x:c>
      <x:c r="J41" t="s">
        <x:v>276</x:v>
      </x:c>
      <x:c r="K41" t="s">
        <x:v>8</x:v>
      </x:c>
      <x:c r="L41" t="s">
        <x:v>277</x:v>
      </x:c>
      <x:c r="M41" t="s">
        <x:v>278</x:v>
      </x:c>
      <x:c r="N41" t="s">
        <x:v>279</x:v>
      </x:c>
      <x:c r="O41" t="s">
        <x:v>8</x:v>
      </x:c>
      <x:c r="P41" t="s">
        <x:v>8</x:v>
      </x:c>
      <x:c r="Q41" s="36" t="str">
        <x:v>Novel Hackathon Finisher</x:v>
      </x:c>
      <x:c r="R41" s="36"/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f>G41</x:f>
        <x:v>Novel Hackathon Finisher — Trophy</x:v>
      </x:c>
      <x:c r="AH41" s="214" t="n">
        <x:f>IF(OR(J41="",J41="-"),"",LEN(J41)-LEN(SUBSTITUTE(J41,",",""))+1)</x:f>
        <x:v>2</x:v>
      </x:c>
      <x:c r="AI41" s="493" t="str">
        <x:v>Per Team</x:v>
      </x:c>
    </x:row>
    <x:row r="42">
      <x:c r="A42">
        <x:v>41</x:v>
      </x:c>
      <x:c r="B42" t="s">
        <x:v>280</x:v>
      </x:c>
      <x:c r="C42" t="s">
        <x:v>281</x:v>
      </x:c>
      <x:c r="D42" s="4">
        <x:v>45920</x:v>
      </x:c>
      <x:c r="E42">
        <x:v>1</x:v>
      </x:c>
      <x:c r="F42" t="s">
        <x:v>3</x:v>
      </x:c>
      <x:c r="G42" t="str">
        <x:v>-</x:v>
      </x:c>
      <x:c r="H42" t="s">
        <x:v>282</x:v>
      </x:c>
      <x:c r="I42" t="s">
        <x:v>283</x:v>
      </x:c>
      <x:c r="J42" t="s">
        <x:v>284</x:v>
      </x:c>
      <x:c r="K42" t="s">
        <x:v>8</x:v>
      </x:c>
      <x:c r="M42" t="s">
        <x:v>9</x:v>
      </x:c>
      <x:c r="N42" t="s">
        <x:v>285</x:v>
      </x:c>
      <x:c r="O42" t="s">
        <x:v>286</x:v>
      </x:c>
      <x:c r="P42" t="s">
        <x:v>8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  <x:c r="AI42" s="493"/>
    </x:row>
    <x:row r="43">
      <x:c r="A43">
        <x:v>42</x:v>
      </x:c>
      <x:c r="B43" t="s">
        <x:v>287</x:v>
      </x:c>
      <x:c r="C43" t="s">
        <x:v>288</x:v>
      </x:c>
      <x:c r="D43" s="4">
        <x:v>45930</x:v>
      </x:c>
      <x:c r="E43">
        <x:v>1</x:v>
      </x:c>
      <x:c r="F43" t="s">
        <x:v>3</x:v>
      </x:c>
      <x:c r="G43" t="str">
        <x:v>1st Place — US$500 Nosana Cloud Credits</x:v>
      </x:c>
      <x:c r="H43" t="s">
        <x:v>289</x:v>
      </x:c>
      <x:c r="I43" t="s">
        <x:v>290</x:v>
      </x:c>
      <x:c r="J43" t="s">
        <x:v>284</x:v>
      </x:c>
      <x:c r="K43" t="s">
        <x:v>291</x:v>
      </x:c>
      <x:c r="L43" t="s">
        <x:v>288</x:v>
      </x:c>
      <x:c r="M43" t="s">
        <x:v>9</x:v>
      </x:c>
      <x:c r="N43" t="s">
        <x:v>292</x:v>
      </x:c>
      <x:c r="O43" t="s">
        <x:v>293</x:v>
      </x:c>
      <x:c r="P43" t="s">
        <x:v>8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f>G43</x:f>
        <x:v>1st Place — US$500 Nosana Cloud Credits</x:v>
      </x:c>
      <x:c r="AH43" s="214" t="n">
        <x:f>IF(OR(J43="",J43="-"),"",LEN(J43)-LEN(SUBSTITUTE(J43,",",""))+1)</x:f>
        <x:v>1</x:v>
      </x:c>
      <x:c r="AI43" s="493" t="str">
        <x:v>Per Team</x:v>
      </x:c>
    </x:row>
    <x:row r="44">
      <x:c r="A44">
        <x:v>43</x:v>
      </x:c>
      <x:c r="B44" t="s">
        <x:v>294</x:v>
      </x:c>
      <x:c r="C44" t="s">
        <x:v>295</x:v>
      </x:c>
      <x:c r="D44" s="5">
        <x:v>45932</x:v>
      </x:c>
      <x:c r="E44">
        <x:v>1</x:v>
      </x:c>
      <x:c r="F44" t="s">
        <x:v>3</x:v>
      </x:c>
      <x:c r="G44" t="str">
        <x:v>-</x:v>
      </x:c>
      <x:c r="H44" t="s">
        <x:v>296</x:v>
      </x:c>
      <x:c r="I44" t="s">
        <x:v>297</x:v>
      </x:c>
      <x:c r="J44" t="s">
        <x:v>284</x:v>
      </x:c>
      <x:c r="K44" t="s">
        <x:v>298</x:v>
      </x:c>
      <x:c r="L44" t="s">
        <x:v>8</x:v>
      </x:c>
      <x:c r="M44" t="s">
        <x:v>9</x:v>
      </x:c>
      <x:c r="N44" t="s">
        <x:v>263</x:v>
      </x:c>
      <x:c r="O44" t="s">
        <x:v>8</x:v>
      </x:c>
      <x:c r="P44" t="s">
        <x:v>8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  <x:c r="AI44" s="493"/>
    </x:row>
    <x:row r="45">
      <x:c r="A45">
        <x:v>44</x:v>
      </x:c>
      <x:c r="B45" t="s">
        <x:v>299</x:v>
      </x:c>
      <x:c r="C45" t="s">
        <x:v>300</x:v>
      </x:c>
      <x:c r="D45" s="2" t="s">
        <x:v>301</x:v>
      </x:c>
      <x:c r="E45">
        <x:v>2</x:v>
      </x:c>
      <x:c r="F45" t="s">
        <x:v>3</x:v>
      </x:c>
      <x:c r="G45" t="str">
        <x:v>-</x:v>
      </x:c>
      <x:c r="H45" t="s">
        <x:v>242</x:v>
      </x:c>
      <x:c r="I45" t="s">
        <x:v>302</x:v>
      </x:c>
      <x:c r="J45" t="s">
        <x:v>303</x:v>
      </x:c>
      <x:c r="K45" t="s">
        <x:v>304</x:v>
      </x:c>
      <x:c r="L45" t="s">
        <x:v>305</x:v>
      </x:c>
      <x:c r="M45" t="s">
        <x:v>9</x:v>
      </x:c>
      <x:c r="N45" t="s">
        <x:v>73</x:v>
      </x:c>
      <x:c r="O45" t="s">
        <x:v>306</x:v>
      </x:c>
      <x:c r="P45" t="s">
        <x:v>8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  <x:c r="AI45" s="493"/>
    </x:row>
    <x:row r="46">
      <x:c r="A46">
        <x:v>45</x:v>
      </x:c>
      <x:c r="B46" t="s">
        <x:v>307</x:v>
      </x:c>
      <x:c r="C46" t="s">
        <x:v>308</x:v>
      </x:c>
      <x:c r="D46" s="5">
        <x:v>45954</x:v>
      </x:c>
      <x:c r="E46">
        <x:v>1</x:v>
      </x:c>
      <x:c r="F46" t="s">
        <x:v>3</x:v>
      </x:c>
      <x:c r="G46" t="str">
        <x:v>-</x:v>
      </x:c>
      <x:c r="H46" t="s">
        <x:v>242</x:v>
      </x:c>
      <x:c r="I46" t="s">
        <x:v>309</x:v>
      </x:c>
      <x:c r="J46" t="s">
        <x:v>310</x:v>
      </x:c>
      <x:c r="K46" t="s">
        <x:v>311</x:v>
      </x:c>
      <x:c r="L46" t="s">
        <x:v>312</x:v>
      </x:c>
      <x:c r="M46" t="s">
        <x:v>9</x:v>
      </x:c>
      <x:c r="N46" t="s">
        <x:v>313</x:v>
      </x:c>
      <x:c r="O46" t="s">
        <x:v>314</x:v>
      </x:c>
      <x:c r="P46" t="s">
        <x:v>8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  <x:c r="AI46" s="493"/>
    </x:row>
    <x:row r="47">
      <x:c r="A47">
        <x:v>46</x:v>
      </x:c>
      <x:c r="B47" t="s">
        <x:v>315</x:v>
      </x:c>
      <x:c r="C47" t="s">
        <x:v>316</x:v>
      </x:c>
      <x:c r="D47" s="5" t="s">
        <x:v>317</x:v>
      </x:c>
      <x:c r="E47">
        <x:v>2.5</x:v>
      </x:c>
      <x:c r="F47" t="s">
        <x:v>3</x:v>
      </x:c>
      <x:c r="G47" t="str">
        <x:v>-</x:v>
      </x:c>
      <x:c r="H47" t="s">
        <x:v>318</x:v>
      </x:c>
      <x:c r="I47" t="s">
        <x:v>319</x:v>
      </x:c>
      <x:c r="J47" t="s">
        <x:v>320</x:v>
      </x:c>
      <x:c r="K47" t="s">
        <x:v>321</x:v>
      </x:c>
      <x:c r="L47" t="s">
        <x:v>322</x:v>
      </x:c>
      <x:c r="M47" t="s">
        <x:v>9</x:v>
      </x:c>
      <x:c r="N47" t="s">
        <x:v>323</x:v>
      </x:c>
      <x:c r="O47" t="s">
        <x:v>324</x:v>
      </x:c>
      <x:c r="P47" t="s">
        <x:v>8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  <x:c r="AI47" s="493"/>
    </x:row>
    <x:row r="48" ht="49.75" customHeight="1">
      <x:c r="A48">
        <x:v>47</x:v>
      </x:c>
      <x:c r="B48" t="s">
        <x:v>325</x:v>
      </x:c>
      <x:c r="C48" t="s">
        <x:v>326</x:v>
      </x:c>
      <x:c r="D48" s="2" t="s">
        <x:v>327</x:v>
      </x:c>
      <x:c r="E48">
        <x:v>2</x:v>
      </x:c>
      <x:c r="F48" t="s">
        <x:v>3</x:v>
      </x:c>
      <x:c r="G48" t="str">
        <x:v>-</x:v>
      </x:c>
      <x:c r="H48" t="s">
        <x:v>242</x:v>
      </x:c>
      <x:c r="I48" t="s">
        <x:v>328</x:v>
      </x:c>
      <x:c r="J48" t="s">
        <x:v>284</x:v>
      </x:c>
      <x:c r="K48" t="s">
        <x:v>329</x:v>
      </x:c>
      <x:c r="L48" t="s">
        <x:v>326</x:v>
      </x:c>
      <x:c r="M48" t="s">
        <x:v>9</x:v>
      </x:c>
      <x:c r="N48" t="s">
        <x:v>330</x:v>
      </x:c>
      <x:c r="O48" t="s">
        <x:v>331</x:v>
      </x:c>
      <x:c r="P48" t="s">
        <x:v>8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  <x:c r="AI48" s="493"/>
    </x:row>
    <x:row r="49">
      <x:c r="A49">
        <x:v>48</x:v>
      </x:c>
      <x:c r="B49" t="s">
        <x:v>325</x:v>
      </x:c>
      <x:c r="C49" t="s">
        <x:v>326</x:v>
      </x:c>
      <x:c r="D49" s="2" t="s">
        <x:v>327</x:v>
      </x:c>
      <x:c r="E49">
        <x:v>2</x:v>
      </x:c>
      <x:c r="F49" t="s">
        <x:v>3</x:v>
      </x:c>
      <x:c r="G49" t="str">
        <x:v>-</x:v>
      </x:c>
      <x:c r="H49" t="s">
        <x:v>242</x:v>
      </x:c>
      <x:c r="I49" t="s">
        <x:v>332</x:v>
      </x:c>
      <x:c r="J49" t="s">
        <x:v>333</x:v>
      </x:c>
      <x:c r="K49" t="s">
        <x:v>334</x:v>
      </x:c>
      <x:c r="L49" t="s">
        <x:v>326</x:v>
      </x:c>
      <x:c r="M49" t="s">
        <x:v>9</x:v>
      </x:c>
      <x:c r="N49" t="s">
        <x:v>330</x:v>
      </x:c>
      <x:c r="O49" t="s">
        <x:v>335</x:v>
      </x:c>
      <x:c r="P49" t="s">
        <x:v>8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  <x:c r="AI49" s="493"/>
    </x:row>
    <x:row r="50" ht="34">
      <x:c r="A50">
        <x:v>49</x:v>
      </x:c>
      <x:c r="B50" t="s">
        <x:v>336</x:v>
      </x:c>
      <x:c r="C50" t="s">
        <x:v>337</x:v>
      </x:c>
      <x:c r="D50" s="3" t="s">
        <x:v>338</x:v>
      </x:c>
      <x:c r="E50">
        <x:v>1</x:v>
      </x:c>
      <x:c r="F50" t="s">
        <x:v>3</x:v>
      </x:c>
      <x:c r="G50" t="str">
        <x:v>-</x:v>
      </x:c>
      <x:c r="H50" t="s">
        <x:v>339</x:v>
      </x:c>
      <x:c r="I50" t="s">
        <x:v>340</x:v>
      </x:c>
      <x:c r="J50" t="s">
        <x:v>341</x:v>
      </x:c>
      <x:c r="K50" t="s">
        <x:v>342</x:v>
      </x:c>
      <x:c r="L50" s="6" t="s">
        <x:v>343</x:v>
      </x:c>
      <x:c r="M50" t="s">
        <x:v>9</x:v>
      </x:c>
      <x:c r="N50" t="s">
        <x:v>344</x:v>
      </x:c>
      <x:c r="O50" t="s">
        <x:v>345</x:v>
      </x:c>
      <x:c r="P50" t="s">
        <x:v>346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  <x:c r="AI50" s="493"/>
    </x:row>
    <x:row r="51">
      <x:c r="A51">
        <x:v>50</x:v>
      </x:c>
      <x:c r="B51" t="s">
        <x:v>347</x:v>
      </x:c>
      <x:c r="C51" t="s">
        <x:v>348</x:v>
      </x:c>
      <x:c r="D51" s="5">
        <x:v>46205</x:v>
      </x:c>
      <x:c r="E51">
        <x:v>1</x:v>
      </x:c>
      <x:c r="F51" t="s">
        <x:v>3</x:v>
      </x:c>
      <x:c r="G51" t="str">
        <x:v>1st Place — US$1,000 OpenRouter Credits</x:v>
      </x:c>
      <x:c r="H51" t="s">
        <x:v>349</x:v>
      </x:c>
      <x:c r="I51" t="s">
        <x:v>350</x:v>
      </x:c>
      <x:c r="J51" t="s">
        <x:v>351</x:v>
      </x:c>
      <x:c r="K51" t="s">
        <x:v>352</x:v>
      </x:c>
      <x:c r="L51" t="s">
        <x:v>353</x:v>
      </x:c>
      <x:c r="M51" t="s">
        <x:v>9</x:v>
      </x:c>
      <x:c r="N51" t="s">
        <x:v>292</x:v>
      </x:c>
      <x:c r="O51" t="s">
        <x:v>354</x:v>
      </x:c>
      <x:c r="P51" t="s">
        <x:v>355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f>G51</x:f>
        <x:v>1st Place — US$1,000 OpenRouter Credits</x:v>
      </x:c>
      <x:c r="AH51" s="214" t="n">
        <x:f>IF(OR(J51="",J51="-"),"",LEN(J51)-LEN(SUBSTITUTE(J51,",",""))+1)</x:f>
        <x:v>3</x:v>
      </x:c>
      <x:c r="AI51" s="493" t="str">
        <x:v>Per Team</x:v>
      </x:c>
    </x:row>
    <x:row r="52">
      <x:c r="A52">
        <x:v>51</x:v>
      </x:c>
      <x:c r="B52" t="s">
        <x:v>347</x:v>
      </x:c>
      <x:c r="C52" t="s">
        <x:v>348</x:v>
      </x:c>
      <x:c r="D52" s="5">
        <x:v>46205</x:v>
      </x:c>
      <x:c r="E52">
        <x:v>1</x:v>
      </x:c>
      <x:c r="F52" t="s">
        <x:v>3</x:v>
      </x:c>
      <x:c r="G52" t="str">
        <x:v>-</x:v>
      </x:c>
      <x:c r="H52" t="s">
        <x:v>349</x:v>
      </x:c>
      <x:c r="I52" t="s">
        <x:v>356</x:v>
      </x:c>
      <x:c r="J52" t="s">
        <x:v>351</x:v>
      </x:c>
      <x:c r="K52" t="s">
        <x:v>357</x:v>
      </x:c>
      <x:c r="L52" t="s">
        <x:v>353</x:v>
      </x:c>
      <x:c r="M52" t="s">
        <x:v>9</x:v>
      </x:c>
      <x:c r="N52" t="s">
        <x:v>292</x:v>
      </x:c>
      <x:c r="O52" t="s">
        <x:v>358</x:v>
      </x:c>
      <x:c r="P52" t="s">
        <x:v>355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  <x:c r="AI52" s="493"/>
    </x:row>
    <x:row r="53">
      <x:c r="A53">
        <x:v>52</x:v>
      </x:c>
      <x:c r="B53" t="s">
        <x:v>359</x:v>
      </x:c>
      <x:c r="C53" t="s">
        <x:v>348</x:v>
      </x:c>
      <x:c r="D53" s="2" t="s">
        <x:v>360</x:v>
      </x:c>
      <x:c r="E53">
        <x:v>1</x:v>
      </x:c>
      <x:c r="F53" t="s">
        <x:v>3</x:v>
      </x:c>
      <x:c r="G53" t="str">
        <x:v>1st Place — US$500 API Credits</x:v>
      </x:c>
      <x:c r="H53" t="s">
        <x:v>349</x:v>
      </x:c>
      <x:c r="I53" t="s">
        <x:v>361</x:v>
      </x:c>
      <x:c r="J53" t="s">
        <x:v>341</x:v>
      </x:c>
      <x:c r="K53" t="s">
        <x:v>362</x:v>
      </x:c>
      <x:c r="L53" t="s">
        <x:v>363</x:v>
      </x:c>
      <x:c r="M53" t="s">
        <x:v>9</x:v>
      </x:c>
      <x:c r="N53" t="s">
        <x:v>26</x:v>
      </x:c>
      <x:c r="O53" t="s">
        <x:v>364</x:v>
      </x:c>
      <x:c r="P53" t="s">
        <x:v>365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f>G53</x:f>
        <x:v>1st Place — US$500 API Credits</x:v>
      </x:c>
      <x:c r="AH53" s="214" t="n">
        <x:f>IF(OR(J53="",J53="-"),"",LEN(J53)-LEN(SUBSTITUTE(J53,",",""))+1)</x:f>
        <x:v>3</x:v>
      </x:c>
      <x:c r="AI53" s="493" t="str">
        <x:v>Per Team</x:v>
      </x:c>
    </x:row>
    <x:row r="54">
      <x:c r="A54">
        <x:v>53</x:v>
      </x:c>
      <x:c r="B54" t="s">
        <x:v>359</x:v>
      </x:c>
      <x:c r="C54" t="s">
        <x:v>348</x:v>
      </x:c>
      <x:c r="D54" s="2" t="s">
        <x:v>360</x:v>
      </x:c>
      <x:c r="E54">
        <x:v>1</x:v>
      </x:c>
      <x:c r="F54" t="s">
        <x:v>3</x:v>
      </x:c>
      <x:c r="G54" t="str">
        <x:v>1st Place — US$500 API Credits</x:v>
      </x:c>
      <x:c r="H54" t="s">
        <x:v>349</x:v>
      </x:c>
      <x:c r="I54" t="s">
        <x:v>366</x:v>
      </x:c>
      <x:c r="J54" t="s">
        <x:v>341</x:v>
      </x:c>
      <x:c r="K54" t="s">
        <x:v>367</x:v>
      </x:c>
      <x:c r="L54" t="s">
        <x:v>368</x:v>
      </x:c>
      <x:c r="M54" t="s">
        <x:v>9</x:v>
      </x:c>
      <x:c r="N54" t="s">
        <x:v>26</x:v>
      </x:c>
      <x:c r="O54" t="s">
        <x:v>369</x:v>
      </x:c>
      <x:c r="P54" t="s">
        <x:v>365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f>G54</x:f>
        <x:v>1st Place — US$500 API Credits</x:v>
      </x:c>
      <x:c r="AH54" s="214" t="n">
        <x:f>IF(OR(J54="",J54="-"),"",LEN(J54)-LEN(SUBSTITUTE(J54,",",""))+1)</x:f>
        <x:v>3</x:v>
      </x:c>
      <x:c r="AI54" s="493" t="str">
        <x:v>Per Team</x:v>
      </x:c>
    </x:row>
    <x:row r="55" ht="34">
      <x:c r="A55">
        <x:v>54</x:v>
      </x:c>
      <x:c r="B55" t="s">
        <x:v>370</x:v>
      </x:c>
      <x:c r="C55" s="6" t="s">
        <x:v>371</x:v>
      </x:c>
      <x:c r="D55" s="2" t="s">
        <x:v>372</x:v>
      </x:c>
      <x:c r="E55">
        <x:v>1</x:v>
      </x:c>
      <x:c r="F55" t="s">
        <x:v>3</x:v>
      </x:c>
      <x:c r="G55" t="str">
        <x:v>1st Place — US$150 Wavespeed AI Credits</x:v>
      </x:c>
      <x:c r="H55" t="s">
        <x:v>373</x:v>
      </x:c>
      <x:c r="I55" s="6" t="s">
        <x:v>374</x:v>
      </x:c>
      <x:c r="J55" t="s">
        <x:v>375</x:v>
      </x:c>
      <x:c r="K55" t="s">
        <x:v>376</x:v>
      </x:c>
      <x:c r="L55" t="s">
        <x:v>8</x:v>
      </x:c>
      <x:c r="M55" t="s">
        <x:v>9</x:v>
      </x:c>
      <x:c r="N55" t="s">
        <x:v>377</x:v>
      </x:c>
      <x:c r="O55" t="s">
        <x:v>8</x:v>
      </x:c>
      <x:c r="P55" t="s">
        <x:v>378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f>G55</x:f>
        <x:v>1st Place — US$150 Wavespeed AI Credits</x:v>
      </x:c>
      <x:c r="AH55" s="214" t="n">
        <x:f>IF(OR(J55="",J55="-"),"",LEN(J55)-LEN(SUBSTITUTE(J55,",",""))+1)</x:f>
        <x:v>3</x:v>
      </x:c>
      <x:c r="AI55" s="493" t="str">
        <x:v>Per Team</x:v>
      </x:c>
    </x:row>
    <x:row r="56" ht="17">
      <x:c r="A56">
        <x:v>55</x:v>
      </x:c>
      <x:c r="B56" t="s">
        <x:v>379</x:v>
      </x:c>
      <x:c r="C56" t="s">
        <x:v>380</x:v>
      </x:c>
      <x:c r="D56" s="2" t="s">
        <x:v>381</x:v>
      </x:c>
      <x:c r="E56">
        <x:v>1</x:v>
      </x:c>
      <x:c r="F56" t="s">
        <x:v>3</x:v>
      </x:c>
      <x:c r="G56" t="str">
        <x:v>-</x:v>
      </x:c>
      <x:c r="H56" t="s">
        <x:v>373</x:v>
      </x:c>
      <x:c r="I56" s="6" t="s">
        <x:v>382</x:v>
      </x:c>
      <x:c r="J56" t="s">
        <x:v>375</x:v>
      </x:c>
      <x:c r="K56" t="s">
        <x:v>383</x:v>
      </x:c>
      <x:c r="L56" t="s">
        <x:v>8</x:v>
      </x:c>
      <x:c r="M56" t="s">
        <x:v>9</x:v>
      </x:c>
      <x:c r="N56" t="s">
        <x:v>26</x:v>
      </x:c>
      <x:c r="O56" t="s">
        <x:v>8</x:v>
      </x:c>
      <x:c r="P56" t="s">
        <x:v>384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  <x:c r="AI56" s="493"/>
    </x:row>
    <x:row r="57">
      <x:c r="A57">
        <x:v>56</x:v>
      </x:c>
      <x:c r="B57" t="s">
        <x:v>385</x:v>
      </x:c>
      <x:c r="C57" t="s">
        <x:v>386</x:v>
      </x:c>
      <x:c r="D57" s="5">
        <x:v>46207</x:v>
      </x:c>
      <x:c r="E57">
        <x:v>1</x:v>
      </x:c>
      <x:c r="F57" t="s">
        <x:v>3</x:v>
      </x:c>
      <x:c r="G57" t="str">
        <x:v>-</x:v>
      </x:c>
      <x:c r="H57" t="s">
        <x:v>373</x:v>
      </x:c>
      <x:c r="I57" t="s">
        <x:v>387</x:v>
      </x:c>
      <x:c r="J57" t="s">
        <x:v>388</x:v>
      </x:c>
      <x:c r="K57" t="s">
        <x:v>389</x:v>
      </x:c>
      <x:c r="L57" t="s">
        <x:v>8</x:v>
      </x:c>
      <x:c r="M57" t="s">
        <x:v>9</x:v>
      </x:c>
      <x:c r="N57" t="s">
        <x:v>26</x:v>
      </x:c>
      <x:c r="O57" t="s">
        <x:v>390</x:v>
      </x:c>
      <x:c r="P57" t="s">
        <x:v>391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  <x:c r="AI57" s="493"/>
    </x:row>
    <x:row r="58">
      <x:c r="A58">
        <x:v>57</x:v>
      </x:c>
      <x:c r="B58" t="s">
        <x:v>392</x:v>
      </x:c>
      <x:c r="C58" t="s">
        <x:v>393</x:v>
      </x:c>
      <x:c r="D58" s="5">
        <x:v>46299</x:v>
      </x:c>
      <x:c r="E58">
        <x:v>1</x:v>
      </x:c>
      <x:c r="F58" t="s">
        <x:v>3</x:v>
      </x:c>
      <x:c r="G58" t="str">
        <x:v>3rd Place — S$300 Cash + S$385 API Credits</x:v>
      </x:c>
      <x:c r="H58" t="s">
        <x:v>394</x:v>
      </x:c>
      <x:c r="I58" t="s">
        <x:v>395</x:v>
      </x:c>
      <x:c r="J58" t="s">
        <x:v>284</x:v>
      </x:c>
      <x:c r="K58" t="s">
        <x:v>396</x:v>
      </x:c>
      <x:c r="L58" t="s">
        <x:v>8</x:v>
      </x:c>
      <x:c r="M58" t="s">
        <x:v>9</x:v>
      </x:c>
      <x:c r="N58" t="s">
        <x:v>397</x:v>
      </x:c>
      <x:c r="O58" t="s">
        <x:v>398</x:v>
      </x:c>
      <x:c r="P58" t="s">
        <x:v>399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f>G58</x:f>
        <x:v>3rd Place — S$300 Cash + S$385 API Credits</x:v>
      </x:c>
      <x:c r="AH58" s="214" t="n">
        <x:f>IF(OR(J58="",J58="-"),"",LEN(J58)-LEN(SUBSTITUTE(J58,",",""))+1)</x:f>
        <x:v>1</x:v>
      </x:c>
      <x:c r="AI58" s="493" t="str">
        <x:v>Per Team</x:v>
      </x:c>
    </x:row>
    <x:row r="59">
      <x:c r="A59">
        <x:v>58</x:v>
      </x:c>
      <x:c r="B59" t="s">
        <x:v>400</x:v>
      </x:c>
      <x:c r="C59" t="s">
        <x:v>401</x:v>
      </x:c>
      <x:c r="D59" s="2" t="s">
        <x:v>402</x:v>
      </x:c>
      <x:c r="E59">
        <x:v>1</x:v>
      </x:c>
      <x:c r="F59" t="s">
        <x:v>3</x:v>
      </x:c>
      <x:c r="G59" t="str">
        <x:v>-</x:v>
      </x:c>
      <x:c r="H59" t="s">
        <x:v>118</x:v>
      </x:c>
      <x:c r="I59" t="s">
        <x:v>403</x:v>
      </x:c>
      <x:c r="J59" t="s">
        <x:v>404</x:v>
      </x:c>
      <x:c r="K59" t="s">
        <x:v>405</x:v>
      </x:c>
      <x:c r="L59" t="s">
        <x:v>406</x:v>
      </x:c>
      <x:c r="M59" t="s">
        <x:v>9</x:v>
      </x:c>
      <x:c r="N59" t="s">
        <x:v>26</x:v>
      </x:c>
      <x:c r="O59" t="s">
        <x:v>407</x:v>
      </x:c>
      <x:c r="P59" t="s">
        <x:v>408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  <x:c r="AI59" s="493"/>
    </x:row>
    <x:row r="60">
      <x:c r="A60">
        <x:v>59</x:v>
      </x:c>
      <x:c r="B60" t="s">
        <x:v>409</x:v>
      </x:c>
      <x:c r="C60" t="s">
        <x:v>410</x:v>
      </x:c>
      <x:c r="D60" s="2" t="s">
        <x:v>411</x:v>
      </x:c>
      <x:c r="E60">
        <x:v>1</x:v>
      </x:c>
      <x:c r="F60" t="s">
        <x:v>3</x:v>
      </x:c>
      <x:c r="G60" t="str">
        <x:v>-</x:v>
      </x:c>
      <x:c r="H60" t="s">
        <x:v>412</x:v>
      </x:c>
      <x:c r="I60" t="s">
        <x:v>413</x:v>
      </x:c>
      <x:c r="J60" t="s">
        <x:v>414</x:v>
      </x:c>
      <x:c r="K60" t="s">
        <x:v>415</x:v>
      </x:c>
      <x:c r="L60" t="s">
        <x:v>8</x:v>
      </x:c>
      <x:c r="M60" t="s">
        <x:v>9</x:v>
      </x:c>
      <x:c r="N60" t="s">
        <x:v>416</x:v>
      </x:c>
      <x:c r="O60" t="s">
        <x:v>417</x:v>
      </x:c>
      <x:c r="P60" t="s">
        <x:v>418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  <x:c r="AI60" s="493"/>
    </x:row>
    <x:row r="61">
      <x:c r="A61">
        <x:v>60</x:v>
      </x:c>
      <x:c r="B61" t="s">
        <x:v>419</x:v>
      </x:c>
      <x:c r="C61" t="s">
        <x:v>420</x:v>
      </x:c>
      <x:c r="D61" s="2" t="s">
        <x:v>421</x:v>
      </x:c>
      <x:c r="E61">
        <x:v>1</x:v>
      </x:c>
      <x:c r="F61" t="s">
        <x:v>3</x:v>
      </x:c>
      <x:c r="G61" t="str">
        <x:v>Award — Speechmatics — US$2,000 Speechmatics Credits</x:v>
      </x:c>
      <x:c r="H61" t="s">
        <x:v>422</x:v>
      </x:c>
      <x:c r="I61" t="s">
        <x:v>423</x:v>
      </x:c>
      <x:c r="J61" t="s">
        <x:v>284</x:v>
      </x:c>
      <x:c r="K61" t="s">
        <x:v>424</x:v>
      </x:c>
      <x:c r="L61" t="s">
        <x:v>8</x:v>
      </x:c>
      <x:c r="M61" t="s">
        <x:v>9</x:v>
      </x:c>
      <x:c r="N61" t="s">
        <x:v>425</x:v>
      </x:c>
      <x:c r="O61" t="s">
        <x:v>426</x:v>
      </x:c>
      <x:c r="P61" s="1" t="s">
        <x:v>427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f>G61</x:f>
        <x:v>Award — Speechmatics — US$2,000 Speechmatics Credits</x:v>
      </x:c>
      <x:c r="AH61" s="214" t="n">
        <x:f>IF(OR(J61="",J61="-"),"",LEN(J61)-LEN(SUBSTITUTE(J61,",",""))+1)</x:f>
        <x:v>1</x:v>
      </x:c>
      <x:c r="AI61" s="493" t="str">
        <x:v>Per Team</x:v>
      </x:c>
    </x:row>
    <x:row r="62">
      <x:c r="A62">
        <x:v>61</x:v>
      </x:c>
      <x:c r="B62" t="s">
        <x:v>428</x:v>
      </x:c>
      <x:c r="C62" t="s">
        <x:v>429</x:v>
      </x:c>
      <x:c r="D62" s="2" t="s">
        <x:v>430</x:v>
      </x:c>
      <x:c r="E62">
        <x:v>1</x:v>
      </x:c>
      <x:c r="F62" t="s">
        <x:v>3</x:v>
      </x:c>
      <x:c r="G62" t="str">
        <x:v>2nd Place — v0 Sock</x:v>
      </x:c>
      <x:c r="H62" t="s">
        <x:v>431</x:v>
      </x:c>
      <x:c r="I62" t="s">
        <x:v>432</x:v>
      </x:c>
      <x:c r="J62" t="s">
        <x:v>284</x:v>
      </x:c>
      <x:c r="K62" t="s">
        <x:v>433</x:v>
      </x:c>
      <x:c r="L62" t="s">
        <x:v>8</x:v>
      </x:c>
      <x:c r="M62" t="s">
        <x:v>9</x:v>
      </x:c>
      <x:c r="N62" t="s">
        <x:v>263</x:v>
      </x:c>
      <x:c r="O62" t="s">
        <x:v>8</x:v>
      </x:c>
      <x:c r="P62" s="1" t="s">
        <x:v>434</x:v>
      </x:c>
      <x:c r="Q62" s="36" t="str">
        <x:v>2nd Place</x:v>
      </x:c>
      <x:c r="R62" s="36" t="str">
        <x:v>v0 Sock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f>G62</x:f>
        <x:v>2nd Place — v0 Sock</x:v>
      </x:c>
      <x:c r="AH62" s="214" t="n">
        <x:f>IF(OR(J62="",J62="-"),"",LEN(J62)-LEN(SUBSTITUTE(J62,",",""))+1)</x:f>
        <x:v>1</x:v>
      </x:c>
      <x:c r="AI62" s="493" t="str">
        <x:v>Per Team</x:v>
      </x:c>
    </x:row>
    <x:row r="63">
      <x:c r="A63">
        <x:v>62</x:v>
      </x:c>
      <x:c r="B63" t="s">
        <x:v>435</x:v>
      </x:c>
      <x:c r="C63" t="s">
        <x:v>436</x:v>
      </x:c>
      <x:c r="D63" s="5">
        <x:v>46085</x:v>
      </x:c>
      <x:c r="E63">
        <x:v>1</x:v>
      </x:c>
      <x:c r="F63" t="s">
        <x:v>437</x:v>
      </x:c>
      <x:c r="G63" t="str">
        <x:v>-</x:v>
      </x:c>
      <x:c r="H63" t="s">
        <x:v>373</x:v>
      </x:c>
      <x:c r="I63" t="s">
        <x:v>438</x:v>
      </x:c>
      <x:c r="J63" t="s">
        <x:v>375</x:v>
      </x:c>
      <x:c r="K63" t="s">
        <x:v>439</x:v>
      </x:c>
      <x:c r="L63" t="s">
        <x:v>8</x:v>
      </x:c>
      <x:c r="M63" t="s">
        <x:v>9</x:v>
      </x:c>
      <x:c r="N63" t="s">
        <x:v>440</x:v>
      </x:c>
      <x:c r="O63" t="s">
        <x:v>441</x:v>
      </x:c>
      <x:c r="P63" t="s">
        <x:v>442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  <x:c r="AI63" s="493"/>
    </x:row>
    <x:row r="64">
      <x:c r="A64">
        <x:v>63</x:v>
      </x:c>
      <x:c r="B64" t="s">
        <x:v>443</x:v>
      </x:c>
      <x:c r="C64" t="s">
        <x:v>429</x:v>
      </x:c>
      <x:c r="D64" s="5">
        <x:v>46116</x:v>
      </x:c>
      <x:c r="E64">
        <x:v>1</x:v>
      </x:c>
      <x:c r="F64" t="s">
        <x:v>3</x:v>
      </x:c>
      <x:c r="G64" t="str">
        <x:v>-</x:v>
      </x:c>
      <x:c r="H64" t="s">
        <x:v>431</x:v>
      </x:c>
      <x:c r="I64" t="s">
        <x:v>444</x:v>
      </x:c>
      <x:c r="J64" t="s">
        <x:v>284</x:v>
      </x:c>
      <x:c r="K64" t="s">
        <x:v>445</x:v>
      </x:c>
      <x:c r="L64" t="s">
        <x:v>8</x:v>
      </x:c>
      <x:c r="M64" t="s">
        <x:v>9</x:v>
      </x:c>
      <x:c r="N64" t="s">
        <x:v>330</x:v>
      </x:c>
      <x:c r="O64" t="s">
        <x:v>446</x:v>
      </x:c>
      <x:c r="P64" t="s">
        <x:v>447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  <x:c r="AI64" s="493"/>
    </x:row>
    <x:row r="65">
      <x:c r="A65">
        <x:v>64</x:v>
      </x:c>
      <x:c r="B65" t="s">
        <x:v>448</x:v>
      </x:c>
      <x:c r="C65" t="s">
        <x:v>449</x:v>
      </x:c>
      <x:c r="D65" s="5">
        <x:v>46270</x:v>
      </x:c>
      <x:c r="E65">
        <x:v>1</x:v>
      </x:c>
      <x:c r="F65" t="s">
        <x:v>3</x:v>
      </x:c>
      <x:c r="G65" t="str">
        <x:v>-</x:v>
      </x:c>
      <x:c r="H65" t="s">
        <x:v>431</x:v>
      </x:c>
      <x:c r="I65" t="s">
        <x:v>450</x:v>
      </x:c>
      <x:c r="J65" t="s">
        <x:v>451</x:v>
      </x:c>
      <x:c r="K65" t="s">
        <x:v>452</x:v>
      </x:c>
      <x:c r="L65" t="s">
        <x:v>8</x:v>
      </x:c>
      <x:c r="M65" t="s">
        <x:v>9</x:v>
      </x:c>
      <x:c r="N65" t="s">
        <x:v>26</x:v>
      </x:c>
      <x:c r="O65" t="s">
        <x:v>453</x:v>
      </x:c>
      <x:c r="P65" t="s">
        <x:v>454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  <x:c r="AI65" s="493"/>
    </x:row>
    <x:row r="66">
      <x:c r="A66">
        <x:v>65</x:v>
      </x:c>
      <x:c r="B66" t="s">
        <x:v>455</x:v>
      </x:c>
      <x:c r="C66" t="s">
        <x:v>456</x:v>
      </x:c>
      <x:c r="D66" s="2" t="s">
        <x:v>457</x:v>
      </x:c>
      <x:c r="E66">
        <x:v>1</x:v>
      </x:c>
      <x:c r="F66" t="s">
        <x:v>3</x:v>
      </x:c>
      <x:c r="G66" t="str">
        <x:v>-</x:v>
      </x:c>
      <x:c r="H66" t="s">
        <x:v>349</x:v>
      </x:c>
      <x:c r="I66" t="s">
        <x:v>458</x:v>
      </x:c>
      <x:c r="J66" t="s">
        <x:v>284</x:v>
      </x:c>
      <x:c r="K66" t="s">
        <x:v>459</x:v>
      </x:c>
      <x:c r="L66" t="s">
        <x:v>8</x:v>
      </x:c>
      <x:c r="M66" t="s">
        <x:v>9</x:v>
      </x:c>
      <x:c r="N66" t="s">
        <x:v>460</x:v>
      </x:c>
      <x:c r="O66" t="s">
        <x:v>461</x:v>
      </x:c>
      <x:c r="P66" t="s">
        <x:v>462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  <x:c r="AI66" s="493"/>
    </x:row>
    <x:row r="67">
      <x:c r="A67">
        <x:v>66</x:v>
      </x:c>
      <x:c r="B67" t="s">
        <x:v>463</x:v>
      </x:c>
      <x:c r="C67" t="s">
        <x:v>464</x:v>
      </x:c>
      <x:c r="D67" s="2" t="s">
        <x:v>465</x:v>
      </x:c>
      <x:c r="E67">
        <x:v>1</x:v>
      </x:c>
      <x:c r="F67" t="s">
        <x:v>14</x:v>
      </x:c>
      <x:c r="G67" t="str">
        <x:v>Top 20 — US$12,000 Credits (OpenAI + Gemini Cloud)</x:v>
      </x:c>
      <x:c r="H67" t="s">
        <x:v>373</x:v>
      </x:c>
      <x:c r="I67" t="s">
        <x:v>382</x:v>
      </x:c>
      <x:c r="J67" t="s">
        <x:v>466</x:v>
      </x:c>
      <x:c r="K67" t="s">
        <x:v>467</x:v>
      </x:c>
      <x:c r="L67" t="s">
        <x:v>8</x:v>
      </x:c>
      <x:c r="M67" t="s">
        <x:v>9</x:v>
      </x:c>
      <x:c r="N67" t="s">
        <x:v>330</x:v>
      </x:c>
      <x:c r="O67" t="s">
        <x:v>8</x:v>
      </x:c>
      <x:c r="P67" t="s">
        <x:v>8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f>G67</x:f>
        <x:v>Top 20 — US$12,000 Credits (OpenAI + Gemini Cloud)</x:v>
      </x:c>
      <x:c r="AH67" s="214" t="n">
        <x:f>IF(OR(J67="",J67="-"),"",LEN(J67)-LEN(SUBSTITUTE(J67,",",""))+1)</x:f>
        <x:v>2</x:v>
      </x:c>
      <x:c r="AI67" s="493" t="str">
        <x:v>Per Team</x:v>
      </x:c>
    </x:row>
    <x:row r="68">
      <x:c r="A68">
        <x:v>67</x:v>
      </x:c>
      <x:c r="B68" t="s">
        <x:v>468</x:v>
      </x:c>
      <x:c r="C68" t="s">
        <x:v>240</x:v>
      </x:c>
      <x:c r="D68" s="2" t="s">
        <x:v>469</x:v>
      </x:c>
      <x:c r="E68">
        <x:v>3</x:v>
      </x:c>
      <x:c r="F68" t="s">
        <x:v>3</x:v>
      </x:c>
      <x:c r="G68" t="str">
        <x:v>-</x:v>
      </x:c>
      <x:c r="H68" t="s">
        <x:v>470</x:v>
      </x:c>
      <x:c r="I68" t="s">
        <x:v>471</x:v>
      </x:c>
      <x:c r="J68" t="s">
        <x:v>472</x:v>
      </x:c>
      <x:c r="K68" t="s">
        <x:v>473</x:v>
      </x:c>
      <x:c r="L68" t="s">
        <x:v>474</x:v>
      </x:c>
      <x:c r="M68" t="s">
        <x:v>9</x:v>
      </x:c>
      <x:c r="N68" t="s">
        <x:v>247</x:v>
      </x:c>
      <x:c r="O68" t="s">
        <x:v>475</x:v>
      </x:c>
      <x:c r="P68" t="s">
        <x:v>8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  <x:c r="AI68" s="493"/>
    </x:row>
    <x:row r="69">
      <x:c r="A69">
        <x:v>68</x:v>
      </x:c>
      <x:c r="B69" t="s">
        <x:v>476</x:v>
      </x:c>
      <x:c r="C69" t="s">
        <x:v>464</x:v>
      </x:c>
      <x:c r="D69" s="2" t="s">
        <x:v>477</x:v>
      </x:c>
      <x:c r="E69">
        <x:v>1</x:v>
      </x:c>
      <x:c r="F69" t="s">
        <x:v>3</x:v>
      </x:c>
      <x:c r="G69" t="str">
        <x:v>-</x:v>
      </x:c>
      <x:c r="H69" t="s">
        <x:v>373</x:v>
      </x:c>
      <x:c r="I69" t="s">
        <x:v>382</x:v>
      </x:c>
      <x:c r="J69" t="s">
        <x:v>466</x:v>
      </x:c>
      <x:c r="K69" t="s">
        <x:v>478</x:v>
      </x:c>
      <x:c r="L69" t="s">
        <x:v>8</x:v>
      </x:c>
      <x:c r="M69" t="s">
        <x:v>9</x:v>
      </x:c>
      <x:c r="N69" t="s">
        <x:v>479</x:v>
      </x:c>
      <x:c r="O69" t="s">
        <x:v>8</x:v>
      </x:c>
      <x:c r="P69" t="s">
        <x:v>480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  <x:c r="AI69" s="493"/>
    </x:row>
    <x:row r="70">
      <x:c r="A70">
        <x:v>69</x:v>
      </x:c>
      <x:c r="B70" t="s">
        <x:v>481</x:v>
      </x:c>
      <x:c r="C70" t="s">
        <x:v>482</x:v>
      </x:c>
      <x:c r="D70" s="2" t="s">
        <x:v>483</x:v>
      </x:c>
      <x:c r="E70">
        <x:v>2</x:v>
      </x:c>
      <x:c r="F70" t="s">
        <x:v>3</x:v>
      </x:c>
      <x:c r="G70"/>
      <x:c r="H70" t="s">
        <x:v>484</x:v>
      </x:c>
      <x:c r="I70" t="s">
        <x:v>485</x:v>
      </x:c>
      <x:c r="J70" t="s">
        <x:v>486</x:v>
      </x:c>
      <x:c r="K70" t="s">
        <x:v>487</x:v>
      </x:c>
      <x:c r="L70" t="s">
        <x:v>482</x:v>
      </x:c>
      <x:c r="M70" t="s">
        <x:v>488</x:v>
      </x:c>
      <x:c r="N70" t="s">
        <x:v>330</x:v>
      </x:c>
      <x:c r="O70" t="s">
        <x:v>489</x:v>
      </x:c>
      <x:c r="P70" t="s">
        <x:v>490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  <x:c r="AI70" s="493"/>
    </x:row>
    <x:row r="71">
      <x:c r="A71">
        <x:v>70</x:v>
      </x:c>
      <x:c r="B71" t="s">
        <x:v>491</x:v>
      </x:c>
      <x:c r="C71" t="s">
        <x:v>492</x:v>
      </x:c>
      <x:c r="D71" s="5" t="s">
        <x:v>493</x:v>
      </x:c>
      <x:c r="E71">
        <x:v>1</x:v>
      </x:c>
      <x:c r="F71" t="s">
        <x:v>3</x:v>
      </x:c>
      <x:c r="G71" t="str">
        <x:v>-</x:v>
      </x:c>
      <x:c r="H71" t="s">
        <x:v>484</x:v>
      </x:c>
      <x:c r="I71" t="s">
        <x:v>494</x:v>
      </x:c>
      <x:c r="J71" t="s">
        <x:v>284</x:v>
      </x:c>
      <x:c r="K71" t="s">
        <x:v>495</x:v>
      </x:c>
      <x:c r="L71" t="s">
        <x:v>492</x:v>
      </x:c>
      <x:c r="M71" t="s">
        <x:v>9</x:v>
      </x:c>
      <x:c r="N71" t="s">
        <x:v>460</x:v>
      </x:c>
      <x:c r="O71" t="s">
        <x:v>496</x:v>
      </x:c>
      <x:c r="P71" t="s">
        <x:v>497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  <x:c r="AI71" s="493"/>
    </x:row>
    <x:row r="72">
      <x:c r="A72">
        <x:v>71</x:v>
      </x:c>
      <x:c r="B72" t="s">
        <x:v>498</x:v>
      </x:c>
      <x:c r="C72" t="s">
        <x:v>499</x:v>
      </x:c>
      <x:c r="D72" s="5">
        <x:v>46363</x:v>
      </x:c>
      <x:c r="E72">
        <x:v>1</x:v>
      </x:c>
      <x:c r="F72" t="s">
        <x:v>3</x:v>
      </x:c>
      <x:c r="G72" t="str">
        <x:v>Top 30 — US$4,500 AWS Credits</x:v>
      </x:c>
      <x:c r="H72" t="s">
        <x:v>215</x:v>
      </x:c>
      <x:c r="I72" t="s">
        <x:v>500</x:v>
      </x:c>
      <x:c r="J72" t="s">
        <x:v>501</x:v>
      </x:c>
      <x:c r="K72" t="s">
        <x:v>502</x:v>
      </x:c>
      <x:c r="L72" t="s">
        <x:v>499</x:v>
      </x:c>
      <x:c r="M72" t="s">
        <x:v>9</x:v>
      </x:c>
      <x:c r="N72" t="s">
        <x:v>18</x:v>
      </x:c>
      <x:c r="O72" t="s">
        <x:v>8</x:v>
      </x:c>
      <x:c r="P72" t="s">
        <x:v>503</x:v>
      </x:c>
      <x:c r="Q72" s="36" t="str">
        <x:v>Top 30</x:v>
      </x:c>
      <x:c r="R72" s="36"/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f>G72</x:f>
        <x:v>Top 30 — US$4,500 AWS Credits</x:v>
      </x:c>
      <x:c r="AH72" s="214" t="n">
        <x:f>IF(OR(J72="",J72="-"),"",LEN(J72)-LEN(SUBSTITUTE(J72,",",""))+1)</x:f>
        <x:v>2</x:v>
      </x:c>
      <x:c r="AI72" s="493" t="str">
        <x:v>Per Team</x:v>
      </x:c>
    </x:row>
    <x:row r="73">
      <x:c r="A73">
        <x:v>72</x:v>
      </x:c>
      <x:c r="B73" t="s">
        <x:v>504</x:v>
      </x:c>
      <x:c r="C73" t="s">
        <x:v>505</x:v>
      </x:c>
      <x:c r="D73" s="2" t="s">
        <x:v>506</x:v>
      </x:c>
      <x:c r="E73">
        <x:v>1</x:v>
      </x:c>
      <x:c r="F73" t="s">
        <x:v>3</x:v>
      </x:c>
      <x:c r="G73" t="str">
        <x:v>-</x:v>
      </x:c>
      <x:c r="H73" t="s">
        <x:v>431</x:v>
      </x:c>
      <x:c r="I73" t="s">
        <x:v>507</x:v>
      </x:c>
      <x:c r="J73" t="s">
        <x:v>284</x:v>
      </x:c>
      <x:c r="K73" t="s">
        <x:v>508</x:v>
      </x:c>
      <x:c r="L73" t="s">
        <x:v>505</x:v>
      </x:c>
      <x:c r="M73" t="s">
        <x:v>9</x:v>
      </x:c>
      <x:c r="N73" t="s">
        <x:v>509</x:v>
      </x:c>
      <x:c r="O73" t="s">
        <x:v>510</x:v>
      </x:c>
      <x:c r="P73" t="s">
        <x:v>511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  <x:c r="AI73" s="493"/>
    </x:row>
    <x:row r="74">
      <x:c r="A74">
        <x:v>73</x:v>
      </x:c>
      <x:c r="B74" t="s">
        <x:v>512</x:v>
      </x:c>
      <x:c r="C74" t="s">
        <x:v>482</x:v>
      </x:c>
      <x:c r="D74" s="2" t="s">
        <x:v>513</x:v>
      </x:c>
      <x:c r="E74">
        <x:v>10</x:v>
      </x:c>
      <x:c r="F74" t="s">
        <x:v>3</x:v>
      </x:c>
      <x:c r="G74" t="str">
        <x:v>-</x:v>
      </x:c>
      <x:c r="H74" t="s">
        <x:v>514</x:v>
      </x:c>
      <x:c r="I74" t="s">
        <x:v>515</x:v>
      </x:c>
      <x:c r="J74" t="s">
        <x:v>284</x:v>
      </x:c>
      <x:c r="K74" t="s">
        <x:v>516</x:v>
      </x:c>
      <x:c r="L74" t="s">
        <x:v>482</x:v>
      </x:c>
      <x:c r="M74" t="s">
        <x:v>488</x:v>
      </x:c>
      <x:c r="N74" t="s">
        <x:v>330</x:v>
      </x:c>
      <x:c r="O74" t="s">
        <x:v>517</x:v>
      </x:c>
      <x:c r="P74" t="s">
        <x:v>490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  <x:c r="AI74" s="493"/>
    </x:row>
    <x:row r="75" ht="34">
      <x:c r="A75">
        <x:v>74</x:v>
      </x:c>
      <x:c r="B75" s="12" t="s">
        <x:v>518</x:v>
      </x:c>
      <x:c r="C75" s="12" t="s">
        <x:v>519</x:v>
      </x:c>
      <x:c r="D75" s="5">
        <x:v>46150</x:v>
      </x:c>
      <x:c r="E75">
        <x:v>1</x:v>
      </x:c>
      <x:c r="F75" s="12" t="s">
        <x:v>3</x:v>
      </x:c>
      <x:c r="G75" s="12" t="str">
        <x:v>-</x:v>
      </x:c>
      <x:c r="H75" s="12" t="s">
        <x:v>519</x:v>
      </x:c>
      <x:c r="I75" s="14" t="s">
        <x:v>520</x:v>
      </x:c>
      <x:c r="J75" s="12" t="s">
        <x:v>284</x:v>
      </x:c>
      <x:c r="K75" s="12" t="s">
        <x:v>521</x:v>
      </x:c>
      <x:c r="L75" s="12" t="s">
        <x:v>519</x:v>
      </x:c>
      <x:c r="M75" s="12" t="s">
        <x:v>9</x:v>
      </x:c>
      <x:c r="N75" s="12" t="s">
        <x:v>247</x:v>
      </x:c>
      <x:c r="O75" t="s">
        <x:v>522</x:v>
      </x:c>
      <x:c r="P75" s="12" t="s">
        <x:v>8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  <x:c r="AI75" s="493"/>
    </x:row>
    <x:row r="76">
      <x:c r="A76">
        <x:v>75</x:v>
      </x:c>
      <x:c r="B76" s="12" t="s">
        <x:v>523</x:v>
      </x:c>
      <x:c r="C76" s="12" t="s">
        <x:v>524</x:v>
      </x:c>
      <x:c r="D76" s="13" t="s">
        <x:v>525</x:v>
      </x:c>
      <x:c r="E76">
        <x:v>1</x:v>
      </x:c>
      <x:c r="F76" s="12" t="s">
        <x:v>3</x:v>
      </x:c>
      <x:c r="G76" s="12" t="str">
        <x:v>Best Project — Best Vertical Solution: Family Office Track — 2,000 Cybrdeck API Credits Each (US$25 value)</x:v>
      </x:c>
      <x:c r="H76" s="12" t="s">
        <x:v>526</x:v>
      </x:c>
      <x:c r="I76" s="12" t="s">
        <x:v>527</x:v>
      </x:c>
      <x:c r="J76" s="12" t="s">
        <x:v>528</x:v>
      </x:c>
      <x:c r="K76" s="12" t="s">
        <x:v>529</x:v>
      </x:c>
      <x:c r="L76" s="12" t="s">
        <x:v>524</x:v>
      </x:c>
      <x:c r="M76" s="12" t="s">
        <x:v>9</x:v>
      </x:c>
      <x:c r="N76" s="12" t="s">
        <x:v>530</x:v>
      </x:c>
      <x:c r="O76" s="1" t="s">
        <x:v>531</x:v>
      </x:c>
      <x:c r="P76" t="s">
        <x:v>532</x:v>
      </x:c>
      <x:c r="Q76" s="36" t="str">
        <x:v>Best Project</x:v>
      </x:c>
      <x:c r="R76" s="36" t="str">
        <x:v>Best Vertical Solution: 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f>G76</x:f>
        <x:v>Best Project — Best Vertical Solution: Family Office Track — 2,000 Cybrdeck API Credits Each (US$25 value)</x:v>
      </x:c>
      <x:c r="AH76" s="214" t="n">
        <x:f>IF(OR(J76="",J76="-"),"",LEN(J76)-LEN(SUBSTITUTE(J76,",",""))+1)</x:f>
        <x:v>2</x:v>
      </x:c>
      <x:c r="AI76" s="493" t="str">
        <x:v>Per Team Member</x:v>
      </x:c>
    </x:row>
    <x:row r="77">
      <x:c r="A77">
        <x:v>76</x:v>
      </x:c>
      <x:c r="B77" t="s">
        <x:v>533</x:v>
      </x:c>
      <x:c r="C77" t="s">
        <x:v>534</x:v>
      </x:c>
      <x:c r="D77" t="s">
        <x:v>535</x:v>
      </x:c>
      <x:c r="E77">
        <x:v>1</x:v>
      </x:c>
      <x:c r="F77" t="s">
        <x:v>3</x:v>
      </x:c>
      <x:c r="G77" t="str">
        <x:v>-</x:v>
      </x:c>
      <x:c r="H77" t="s">
        <x:v>536</x:v>
      </x:c>
      <x:c r="I77" t="s">
        <x:v>537</x:v>
      </x:c>
      <x:c r="J77" t="s">
        <x:v>284</x:v>
      </x:c>
      <x:c r="K77" t="s">
        <x:v>538</x:v>
      </x:c>
      <x:c r="L77" t="s">
        <x:v>539</x:v>
      </x:c>
      <x:c r="M77" t="s">
        <x:v>9</x:v>
      </x:c>
      <x:c r="N77" t="s">
        <x:v>540</x:v>
      </x:c>
      <x:c r="O77" t="s">
        <x:v>541</x:v>
      </x:c>
      <x:c r="P77" t="s">
        <x:v>542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  <x:c r="AI77" s="493"/>
    </x:row>
    <x:row r="78">
      <x:c r="A78">
        <x:v>77</x:v>
      </x:c>
      <x:c r="B78" t="s">
        <x:v>543</x:v>
      </x:c>
      <x:c r="C78" t="s">
        <x:v>482</x:v>
      </x:c>
      <x:c r="D78" t="s">
        <x:v>544</x:v>
      </x:c>
      <x:c r="E78">
        <x:v>1</x:v>
      </x:c>
      <x:c r="F78" t="s">
        <x:v>14</x:v>
      </x:c>
      <x:c r="G78" t="str">
        <x:v>-</x:v>
      </x:c>
      <x:c r="H78" t="s">
        <x:v>545</x:v>
      </x:c>
      <x:c r="I78" t="s">
        <x:v>546</x:v>
      </x:c>
      <x:c r="J78" t="s">
        <x:v>284</x:v>
      </x:c>
      <x:c r="K78" t="s">
        <x:v>547</x:v>
      </x:c>
      <x:c r="L78" t="s">
        <x:v>482</x:v>
      </x:c>
      <x:c r="M78" t="s">
        <x:v>488</x:v>
      </x:c>
      <x:c r="N78" t="s">
        <x:v>330</x:v>
      </x:c>
      <x:c r="O78" t="s">
        <x:v>548</x:v>
      </x:c>
      <x:c r="P78" t="s">
        <x:v>490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  <x:c r="AI78" s="493"/>
    </x:row>
    <x:row r="79">
      <x:c r="A79">
        <x:v>78</x:v>
      </x:c>
      <x:c r="B79" t="s">
        <x:v>549</x:v>
      </x:c>
      <x:c r="C79" t="s">
        <x:v>550</x:v>
      </x:c>
      <x:c r="D79" t="s">
        <x:v>551</x:v>
      </x:c>
      <x:c r="E79">
        <x:v>4</x:v>
      </x:c>
      <x:c r="F79" t="s">
        <x:v>437</x:v>
      </x:c>
      <x:c r="G79" t="str">
        <x:v>-</x:v>
      </x:c>
      <x:c r="H79" t="s">
        <x:v>552</x:v>
      </x:c>
      <x:c r="I79" t="s">
        <x:v>553</x:v>
      </x:c>
      <x:c r="J79" t="s">
        <x:v>554</x:v>
      </x:c>
      <x:c r="K79" t="s">
        <x:v>555</x:v>
      </x:c>
      <x:c r="L79" t="s">
        <x:v>556</x:v>
      </x:c>
      <x:c r="M79" t="s">
        <x:v>9</x:v>
      </x:c>
      <x:c r="N79" t="s">
        <x:v>9</x:v>
      </x:c>
      <x:c r="O79" t="s">
        <x:v>557</x:v>
      </x:c>
      <x:c r="P79" t="s">
        <x:v>558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  <x:c r="AI79" s="493"/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First Runner-Up — SG × Sarawak AI &amp; Design Hackathon — US$200 Kimi AI Credits + Trophy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f>G80</x:f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  <x:c r="AI80" s="493" t="str">
        <x:v>Per Team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Project — Best Use of GPT-Image-2.5 — US$5,000 OpenAI Credits Each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f>G81</x:f>
        <x:v>Best Project — Best Use of GPT-Image-2.5 — US$5,000 OpenAI Credits Each</x:v>
      </x:c>
      <x:c r="AH81" s="214" t="n">
        <x:f>IF(OR(J81="",J81="-"),"",LEN(J81)-LEN(SUBSTITUTE(J81,",",""))+1)</x:f>
        <x:v>2</x:v>
      </x:c>
      <x:c r="AI81" s="493" t="str">
        <x:v>Per Team Member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  <x:c r="AI82" s="493"/>
    </x:row>
    <x:row r="83" ht="40" customHeight="1">
      <x:c r="A83" s="64" t="n">
        <x:v>82</x:v>
      </x:c>
      <x:c r="B83" s="64" t="str">
        <x:v>Reap x 65labs Agentic Buildathon</x:v>
      </x:c>
      <x:c r="C83" s="64" t="str">
        <x:v>Reap, 65labs</x:v>
      </x:c>
      <x:c r="D83" s="523" t="d">
        <x:v>2026-10-09T00:00:00.000Z</x:v>
      </x:c>
      <x:c r="E83" s="64" t="n">
        <x:v>1</x:v>
      </x:c>
      <x:c r="F83" s="64" t="str">
        <x:v>Days</x:v>
      </x:c>
      <x:c r="G83" s="64" t="str">
        <x:v>No prize</x:v>
      </x:c>
      <x:c r="H83" s="64" t="str">
        <x:v>Agentic Payments, Fitness</x:v>
      </x:c>
      <x:c r="I83" s="64" t="str">
        <x:v>A 1-vs-1 fitness challenge app with AI-recommended rewards and Reap agentic payments tied to participants’ progress.</x:v>
      </x:c>
      <x:c r="J83" s="64" t="str">
        <x:v>sayyid, malcolm, ben</x:v>
      </x:c>
      <x:c r="K83" s="64" t="str">
        <x:v>FitStake</x:v>
      </x:c>
      <x:c r="L83" s="64" t="str">
        <x:v>Reap</x:v>
      </x:c>
      <x:c r="M83" s="64" t="str">
        <x:v>Singapore</x:v>
      </x:c>
      <x:c r="N83" s="64" t="str">
        <x:v>SQ Collective x Gen-AI Labs, 65 Mohamed Sultan Rd, Singapore</x:v>
      </x:c>
      <x:c r="O83" s="64" t="str">
        <x:v>https://github.com/sayyidkhan/fitstake</x:v>
      </x:c>
      <x:c r="P83" s="64" t="str">
        <x:v>https://luma.com/reap-65labs-hack?tk=ct18SG</x:v>
      </x:c>
      <x:c r="Q83" s="36"/>
      <x:c r="R83" s="36" t="str">
        <x:v>Live demo: https://fitstake-eta.vercel.app</x:v>
      </x:c>
      <x:c r="S83" s="37"/>
      <x:c r="T83" s="38"/>
      <x:c r="U83" s="37"/>
      <x:c r="V83" s="38"/>
      <x:c r="W83" s="38"/>
      <x:c r="X83" s="37"/>
      <x:c r="Y83" s="38"/>
      <x:c r="Z83" s="36"/>
      <x:c r="AA83" s="36"/>
      <x:c r="AB83" s="39"/>
      <x:c r="AC83" s="40"/>
      <x:c r="AD83" s="36"/>
      <x:c r="AE83" s="38" t="str">
        <x:v>Exclude</x:v>
      </x:c>
      <x:c r="AF83" s="38"/>
      <x:c r="AG83" s="198" t="str">
        <x:f>G83</x:f>
        <x:v>No prize</x:v>
      </x:c>
      <x:c r="AH83" s="524" t="n">
        <x:f>IF(OR(J83="",J83="-"),"",LEN(J83)-LEN(SUBSTITUTE(J83,",",""))+1)</x:f>
        <x:v>3</x:v>
      </x:c>
      <x:c r="AI83" s="38"/>
    </x:row>
  </x:sheetData>
  <x:hyperlinks>
    <x:hyperlink xmlns:r="http://schemas.openxmlformats.org/officeDocument/2006/relationships" ref="O37" r:id="R6f38b84034494ad6"/>
    <x:hyperlink xmlns:r="http://schemas.openxmlformats.org/officeDocument/2006/relationships" ref="P61" r:id="Re814593afa1c484a"/>
    <x:hyperlink xmlns:r="http://schemas.openxmlformats.org/officeDocument/2006/relationships" ref="P62" r:id="Rccbd3b8030fb44e8"/>
    <x:hyperlink xmlns:r="http://schemas.openxmlformats.org/officeDocument/2006/relationships" ref="O76" r:id="R899dac60bcd74ecc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559</x:v>
      </x:c>
      <x:c r="B1" s="18"/>
      <x:c r="C1" s="18"/>
      <x:c r="D1" s="18"/>
      <x:c r="E1" s="18"/>
    </x:row>
    <x:row r="2" ht="34" customHeight="1">
      <x:c r="A2" s="19" t="s">
        <x:v>560</x:v>
      </x:c>
      <x:c r="B2" s="19"/>
      <x:c r="C2" s="19"/>
      <x:c r="D2" s="19"/>
      <x:c r="E2" s="19"/>
    </x:row>
    <x:row r="4" ht="30" customHeight="1">
      <x:c r="A4" s="11" t="s">
        <x:v>561</x:v>
      </x:c>
      <x:c r="B4" s="11" t="s">
        <x:v>562</x:v>
      </x:c>
      <x:c r="C4" s="11" t="s">
        <x:v>563</x:v>
      </x:c>
      <x:c r="D4" s="11" t="s">
        <x:v>564</x:v>
      </x:c>
      <x:c r="E4" s="11" t="s">
        <x:v>565</x:v>
      </x:c>
    </x:row>
    <x:row r="5" ht="28" customHeight="1">
      <x:c r="A5" s="8" t="s">
        <x:v>566</x:v>
      </x:c>
      <x:c r="B5" s="7" t="s">
        <x:v>567</x:v>
      </x:c>
      <x:c r="C5" s="7" t="s">
        <x:v>568</x:v>
      </x:c>
      <x:c r="D5" s="9">
        <x:v>2</x:v>
      </x:c>
      <x:c r="E5" s="10" t="s">
        <x:v>569</x:v>
      </x:c>
    </x:row>
    <x:row r="6" ht="28" customHeight="1">
      <x:c r="A6" s="8" t="s">
        <x:v>570</x:v>
      </x:c>
      <x:c r="B6" s="7" t="s">
        <x:v>571</x:v>
      </x:c>
      <x:c r="C6" s="7" t="s">
        <x:v>572</x:v>
      </x:c>
      <x:c r="D6" s="9">
        <x:v>1</x:v>
      </x:c>
      <x:c r="E6" s="10" t="s">
        <x:v>573</x:v>
      </x:c>
    </x:row>
    <x:row r="7" ht="28" customHeight="1">
      <x:c r="A7" s="8" t="s">
        <x:v>574</x:v>
      </x:c>
      <x:c r="B7" s="7" t="s">
        <x:v>575</x:v>
      </x:c>
      <x:c r="C7" s="7" t="s">
        <x:v>576</x:v>
      </x:c>
      <x:c r="D7" s="9">
        <x:v>1</x:v>
      </x:c>
      <x:c r="E7" s="10"/>
    </x:row>
    <x:row r="8" ht="28" customHeight="1">
      <x:c r="A8" s="8" t="s">
        <x:v>577</x:v>
      </x:c>
      <x:c r="B8" s="7" t="s">
        <x:v>578</x:v>
      </x:c>
      <x:c r="C8" s="7" t="s">
        <x:v>579</x:v>
      </x:c>
      <x:c r="D8" s="9">
        <x:v>1</x:v>
      </x:c>
      <x:c r="E8" s="10" t="s">
        <x:v>580</x:v>
      </x:c>
    </x:row>
    <x:row r="9" ht="28" customHeight="1">
      <x:c r="A9" s="8" t="s">
        <x:v>581</x:v>
      </x:c>
      <x:c r="B9" s="7" t="s">
        <x:v>582</x:v>
      </x:c>
      <x:c r="C9" s="7" t="s">
        <x:v>572</x:v>
      </x:c>
      <x:c r="D9" s="9">
        <x:v>1</x:v>
      </x:c>
      <x:c r="E9" s="10" t="s">
        <x:v>583</x:v>
      </x:c>
    </x:row>
    <x:row r="10" ht="28" customHeight="1">
      <x:c r="A10" s="8" t="s">
        <x:v>584</x:v>
      </x:c>
      <x:c r="B10" s="7" t="s">
        <x:v>585</x:v>
      </x:c>
      <x:c r="C10" s="7" t="s">
        <x:v>586</x:v>
      </x:c>
      <x:c r="D10" s="9">
        <x:v>1</x:v>
      </x:c>
      <x:c r="E10" s="10"/>
    </x:row>
    <x:row r="11" ht="28" customHeight="1">
      <x:c r="A11" s="8" t="s">
        <x:v>587</x:v>
      </x:c>
      <x:c r="B11" s="7" t="s">
        <x:v>588</x:v>
      </x:c>
      <x:c r="C11" s="7" t="s">
        <x:v>589</x:v>
      </x:c>
      <x:c r="D11" s="9">
        <x:v>1</x:v>
      </x:c>
      <x:c r="E11" s="10" t="s">
        <x:v>590</x:v>
      </x:c>
    </x:row>
    <x:row r="12" ht="28" customHeight="1">
      <x:c r="A12" s="8" t="s">
        <x:v>591</x:v>
      </x:c>
      <x:c r="B12" s="7" t="s">
        <x:v>592</x:v>
      </x:c>
      <x:c r="C12" s="7" t="s">
        <x:v>593</x:v>
      </x:c>
      <x:c r="D12" s="9">
        <x:v>1</x:v>
      </x:c>
      <x:c r="E12" s="10" t="s">
        <x:v>594</x:v>
      </x:c>
    </x:row>
    <x:row r="13" ht="28" customHeight="1">
      <x:c r="A13" s="8" t="s">
        <x:v>595</x:v>
      </x:c>
      <x:c r="B13" s="7" t="s">
        <x:v>596</x:v>
      </x:c>
      <x:c r="C13" s="7" t="s">
        <x:v>597</x:v>
      </x:c>
      <x:c r="D13" s="9">
        <x:v>1</x:v>
      </x:c>
      <x:c r="E13" s="10"/>
    </x:row>
    <x:row r="14" ht="28" customHeight="1">
      <x:c r="A14" s="8" t="s">
        <x:v>598</x:v>
      </x:c>
      <x:c r="B14" s="7" t="s">
        <x:v>599</x:v>
      </x:c>
      <x:c r="C14" s="7" t="s">
        <x:v>597</x:v>
      </x:c>
      <x:c r="D14" s="9">
        <x:v>1</x:v>
      </x:c>
      <x:c r="E14" s="10" t="s">
        <x:v>600</x:v>
      </x:c>
    </x:row>
    <x:row r="15" ht="28" customHeight="1">
      <x:c r="A15" s="8" t="s">
        <x:v>601</x:v>
      </x:c>
      <x:c r="B15" s="7" t="s">
        <x:v>602</x:v>
      </x:c>
      <x:c r="C15" s="7" t="s">
        <x:v>603</x:v>
      </x:c>
      <x:c r="D15" s="9">
        <x:v>1</x:v>
      </x:c>
      <x:c r="E15" s="10"/>
    </x:row>
    <x:row r="16" ht="28" customHeight="1">
      <x:c r="A16" s="8" t="s">
        <x:v>604</x:v>
      </x:c>
      <x:c r="B16" s="7" t="s">
        <x:v>605</x:v>
      </x:c>
      <x:c r="C16" s="7" t="s">
        <x:v>606</x:v>
      </x:c>
      <x:c r="D16" s="9">
        <x:v>1</x:v>
      </x:c>
      <x:c r="E16" s="10" t="s">
        <x:v>607</x:v>
      </x:c>
    </x:row>
    <x:row r="17" ht="28" customHeight="1">
      <x:c r="A17" s="8" t="s">
        <x:v>608</x:v>
      </x:c>
      <x:c r="B17" s="7" t="s">
        <x:v>609</x:v>
      </x:c>
      <x:c r="C17" s="7" t="s">
        <x:v>610</x:v>
      </x:c>
      <x:c r="D17" s="9">
        <x:v>1</x:v>
      </x:c>
      <x:c r="E17" s="10"/>
    </x:row>
    <x:row r="18" ht="28" customHeight="1">
      <x:c r="A18" s="8" t="s">
        <x:v>611</x:v>
      </x:c>
      <x:c r="B18" s="7" t="s">
        <x:v>612</x:v>
      </x:c>
      <x:c r="C18" s="7" t="s">
        <x:v>613</x:v>
      </x:c>
      <x:c r="D18" s="9">
        <x:v>1</x:v>
      </x:c>
      <x:c r="E18" s="10" t="s">
        <x:v>614</x:v>
      </x:c>
    </x:row>
    <x:row r="19" ht="28" customHeight="1">
      <x:c r="A19" s="8" t="s">
        <x:v>615</x:v>
      </x:c>
      <x:c r="B19" s="7" t="s">
        <x:v>616</x:v>
      </x:c>
      <x:c r="C19" s="7" t="s">
        <x:v>617</x:v>
      </x:c>
      <x:c r="D19" s="9">
        <x:v>2</x:v>
      </x:c>
      <x:c r="E19" s="10" t="s">
        <x:v>618</x:v>
      </x:c>
    </x:row>
    <x:row r="20" ht="28" customHeight="1">
      <x:c r="A20" s="8" t="s">
        <x:v>619</x:v>
      </x:c>
      <x:c r="B20" s="7" t="s">
        <x:v>620</x:v>
      </x:c>
      <x:c r="C20" s="7" t="s">
        <x:v>621</x:v>
      </x:c>
      <x:c r="D20" s="9">
        <x:v>1</x:v>
      </x:c>
      <x:c r="E20" s="10"/>
    </x:row>
    <x:row r="21" ht="28" customHeight="1">
      <x:c r="A21" s="8" t="s">
        <x:v>622</x:v>
      </x:c>
      <x:c r="B21" s="7" t="s">
        <x:v>623</x:v>
      </x:c>
      <x:c r="C21" s="7" t="str">
        <x:v>#069, #071, #079</x:v>
      </x:c>
      <x:c r="D21" s="9" t="n">
        <x:v>3</x:v>
      </x:c>
      <x:c r="E21" s="10" t="s">
        <x:v>624</x:v>
      </x:c>
    </x:row>
    <x:row r="22" ht="28" customHeight="1">
      <x:c r="A22" s="8" t="s">
        <x:v>625</x:v>
      </x:c>
      <x:c r="B22" s="7" t="s">
        <x:v>626</x:v>
      </x:c>
      <x:c r="C22" s="7" t="s">
        <x:v>627</x:v>
      </x:c>
      <x:c r="D22" s="9">
        <x:v>1</x:v>
      </x:c>
      <x:c r="E22" s="10"/>
    </x:row>
    <x:row r="23" ht="28" customHeight="1">
      <x:c r="A23" s="8" t="s">
        <x:v>628</x:v>
      </x:c>
      <x:c r="B23" s="7" t="s">
        <x:v>629</x:v>
      </x:c>
      <x:c r="C23" s="7" t="s">
        <x:v>630</x:v>
      </x:c>
      <x:c r="D23" s="9">
        <x:v>1</x:v>
      </x:c>
      <x:c r="E23" s="10"/>
    </x:row>
    <x:row r="24" ht="28" customHeight="1">
      <x:c r="A24" s="8" t="s">
        <x:v>631</x:v>
      </x:c>
      <x:c r="B24" s="7" t="s">
        <x:v>632</x:v>
      </x:c>
      <x:c r="C24" s="7" t="str">
        <x:v>#054, #055, #056, #062, #066, #068, #075</x:v>
      </x:c>
      <x:c r="D24" s="9" t="n">
        <x:v>7</x:v>
      </x:c>
      <x:c r="E24" s="10" t="s">
        <x:v>633</x:v>
      </x:c>
    </x:row>
    <x:row r="25" ht="28" customHeight="1">
      <x:c r="A25" s="8" t="s">
        <x:v>634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635</x:v>
      </x:c>
    </x:row>
    <x:row r="26" ht="28" customHeight="1">
      <x:c r="A26" s="8" t="s">
        <x:v>636</x:v>
      </x:c>
      <x:c r="B26" s="7" t="s">
        <x:v>637</x:v>
      </x:c>
      <x:c r="C26" s="7" t="s">
        <x:v>576</x:v>
      </x:c>
      <x:c r="D26" s="9">
        <x:v>1</x:v>
      </x:c>
      <x:c r="E26" s="10"/>
    </x:row>
    <x:row r="27" ht="28" customHeight="1">
      <x:c r="A27" s="8" t="s">
        <x:v>638</x:v>
      </x:c>
      <x:c r="B27" s="7" t="s">
        <x:v>639</x:v>
      </x:c>
      <x:c r="C27" s="7" t="s">
        <x:v>640</x:v>
      </x:c>
      <x:c r="D27" s="9">
        <x:v>1</x:v>
      </x:c>
      <x:c r="E27" s="10"/>
    </x:row>
    <x:row r="28" ht="28" customHeight="1">
      <x:c r="A28" s="8" t="s">
        <x:v>641</x:v>
      </x:c>
      <x:c r="B28" s="7" t="s">
        <x:v>642</x:v>
      </x:c>
      <x:c r="C28" s="7" t="s">
        <x:v>643</x:v>
      </x:c>
      <x:c r="D28" s="9">
        <x:v>2</x:v>
      </x:c>
      <x:c r="E28" s="10"/>
    </x:row>
    <x:row r="29" ht="28" customHeight="1">
      <x:c r="A29" s="8" t="s">
        <x:v>644</x:v>
      </x:c>
      <x:c r="B29" s="7" t="s">
        <x:v>645</x:v>
      </x:c>
      <x:c r="C29" s="7" t="s">
        <x:v>646</x:v>
      </x:c>
      <x:c r="D29" s="9">
        <x:v>4</x:v>
      </x:c>
      <x:c r="E29" s="10"/>
    </x:row>
    <x:row r="30" ht="28" customHeight="1">
      <x:c r="A30" s="8" t="s">
        <x:v>647</x:v>
      </x:c>
      <x:c r="B30" s="7" t="s">
        <x:v>648</x:v>
      </x:c>
      <x:c r="C30" s="7" t="s">
        <x:v>640</x:v>
      </x:c>
      <x:c r="D30" s="9">
        <x:v>1</x:v>
      </x:c>
      <x:c r="E30" s="10"/>
    </x:row>
    <x:row r="31" ht="28" customHeight="1">
      <x:c r="A31" s="8" t="s">
        <x:v>649</x:v>
      </x:c>
      <x:c r="B31" s="7" t="s">
        <x:v>650</x:v>
      </x:c>
      <x:c r="C31" s="7" t="s">
        <x:v>589</x:v>
      </x:c>
      <x:c r="D31" s="9">
        <x:v>1</x:v>
      </x:c>
      <x:c r="E31" s="10" t="s">
        <x:v>651</x:v>
      </x:c>
    </x:row>
    <x:row r="32" ht="28" customHeight="1">
      <x:c r="A32" s="8" t="s">
        <x:v>652</x:v>
      </x:c>
      <x:c r="B32" s="7" t="s">
        <x:v>653</x:v>
      </x:c>
      <x:c r="C32" s="7" t="s">
        <x:v>654</x:v>
      </x:c>
      <x:c r="D32" s="9">
        <x:v>1</x:v>
      </x:c>
      <x:c r="E32" s="10" t="s">
        <x:v>655</x:v>
      </x:c>
    </x:row>
    <x:row r="33" ht="28" customHeight="1">
      <x:c r="A33" s="8" t="s">
        <x:v>656</x:v>
      </x:c>
      <x:c r="B33" s="7" t="s">
        <x:v>657</x:v>
      </x:c>
      <x:c r="C33" s="7" t="s">
        <x:v>627</x:v>
      </x:c>
      <x:c r="D33" s="9">
        <x:v>1</x:v>
      </x:c>
      <x:c r="E33" s="10"/>
    </x:row>
    <x:row r="34" ht="28" customHeight="1">
      <x:c r="A34" s="8" t="s">
        <x:v>658</x:v>
      </x:c>
      <x:c r="B34" s="7" t="s">
        <x:v>659</x:v>
      </x:c>
      <x:c r="C34" s="7" t="s">
        <x:v>660</x:v>
      </x:c>
      <x:c r="D34" s="9">
        <x:v>1</x:v>
      </x:c>
      <x:c r="E34" s="10"/>
    </x:row>
    <x:row r="35" ht="28" customHeight="1">
      <x:c r="A35" s="8" t="s">
        <x:v>661</x:v>
      </x:c>
      <x:c r="B35" s="7" t="s">
        <x:v>662</x:v>
      </x:c>
      <x:c r="C35" s="7" t="s">
        <x:v>663</x:v>
      </x:c>
      <x:c r="D35" s="9">
        <x:v>1</x:v>
      </x:c>
      <x:c r="E35" s="10" t="s">
        <x:v>664</x:v>
      </x:c>
    </x:row>
    <x:row r="36" ht="28" customHeight="1">
      <x:c r="A36" s="8" t="s">
        <x:v>665</x:v>
      </x:c>
      <x:c r="B36" s="7" t="s">
        <x:v>666</x:v>
      </x:c>
      <x:c r="C36" s="7" t="s">
        <x:v>667</x:v>
      </x:c>
      <x:c r="D36" s="9">
        <x:v>1</x:v>
      </x:c>
      <x:c r="E36" s="10" t="s">
        <x:v>668</x:v>
      </x:c>
    </x:row>
    <x:row r="37" ht="28" customHeight="1">
      <x:c r="A37" s="8" t="s">
        <x:v>669</x:v>
      </x:c>
      <x:c r="B37" s="7" t="s">
        <x:v>670</x:v>
      </x:c>
      <x:c r="C37" s="7" t="s">
        <x:v>671</x:v>
      </x:c>
      <x:c r="D37" s="9">
        <x:v>1</x:v>
      </x:c>
      <x:c r="E37" s="10"/>
    </x:row>
    <x:row r="38" ht="28" customHeight="1">
      <x:c r="A38" s="8" t="s">
        <x:v>672</x:v>
      </x:c>
      <x:c r="B38" s="7" t="s">
        <x:v>673</x:v>
      </x:c>
      <x:c r="C38" s="7" t="s">
        <x:v>610</x:v>
      </x:c>
      <x:c r="D38" s="9">
        <x:v>1</x:v>
      </x:c>
      <x:c r="E38" s="10"/>
    </x:row>
    <x:row r="39" ht="28" customHeight="1">
      <x:c r="A39" s="8" t="s">
        <x:v>674</x:v>
      </x:c>
      <x:c r="B39" s="7" t="s">
        <x:v>675</x:v>
      </x:c>
      <x:c r="C39" s="7" t="s">
        <x:v>676</x:v>
      </x:c>
      <x:c r="D39" s="9">
        <x:v>3</x:v>
      </x:c>
      <x:c r="E39" s="10"/>
    </x:row>
    <x:row r="40" ht="28" customHeight="1">
      <x:c r="A40" s="8" t="s">
        <x:v>677</x:v>
      </x:c>
      <x:c r="B40" s="7" t="s">
        <x:v>678</x:v>
      </x:c>
      <x:c r="C40" s="7" t="s">
        <x:v>679</x:v>
      </x:c>
      <x:c r="D40" s="9">
        <x:v>1</x:v>
      </x:c>
      <x:c r="E40" s="10" t="s">
        <x:v>680</x:v>
      </x:c>
    </x:row>
    <x:row r="41" ht="28" customHeight="1">
      <x:c r="A41" s="8" t="s">
        <x:v>681</x:v>
      </x:c>
      <x:c r="B41" s="7" t="s">
        <x:v>682</x:v>
      </x:c>
      <x:c r="C41" s="7" t="s">
        <x:v>679</x:v>
      </x:c>
      <x:c r="D41" s="9">
        <x:v>1</x:v>
      </x:c>
      <x:c r="E41" s="10" t="s">
        <x:v>683</x:v>
      </x:c>
    </x:row>
    <x:row r="42" ht="28" customHeight="1">
      <x:c r="A42" s="8" t="s">
        <x:v>684</x:v>
      </x:c>
      <x:c r="B42" s="7" t="s">
        <x:v>685</x:v>
      </x:c>
      <x:c r="C42" s="7" t="s">
        <x:v>686</x:v>
      </x:c>
      <x:c r="D42" s="9">
        <x:v>1</x:v>
      </x:c>
      <x:c r="E42" s="10"/>
    </x:row>
    <x:row r="43" ht="28" customHeight="1">
      <x:c r="A43" s="8" t="s">
        <x:v>687</x:v>
      </x:c>
      <x:c r="B43" s="7" t="s">
        <x:v>688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689</x:v>
      </x:c>
      <x:c r="B44" s="7" t="s">
        <x:v>690</x:v>
      </x:c>
      <x:c r="C44" s="7" t="s">
        <x:v>643</x:v>
      </x:c>
      <x:c r="D44" s="9">
        <x:v>2</x:v>
      </x:c>
      <x:c r="E44" s="10" t="s">
        <x:v>691</x:v>
      </x:c>
    </x:row>
    <x:row r="45" ht="28" customHeight="1">
      <x:c r="A45" s="8" t="s">
        <x:v>692</x:v>
      </x:c>
      <x:c r="B45" s="7" t="s">
        <x:v>693</x:v>
      </x:c>
      <x:c r="C45" s="7" t="s">
        <x:v>694</x:v>
      </x:c>
      <x:c r="D45" s="9">
        <x:v>1</x:v>
      </x:c>
      <x:c r="E45" s="10"/>
    </x:row>
    <x:row r="46" ht="28" customHeight="1">
      <x:c r="A46" s="8" t="s">
        <x:v>695</x:v>
      </x:c>
      <x:c r="B46" s="7" t="s">
        <x:v>696</x:v>
      </x:c>
      <x:c r="C46" s="7" t="s">
        <x:v>660</x:v>
      </x:c>
      <x:c r="D46" s="9">
        <x:v>1</x:v>
      </x:c>
      <x:c r="E46" s="10"/>
    </x:row>
    <x:row r="47" ht="28" customHeight="1">
      <x:c r="A47" s="8" t="s">
        <x:v>697</x:v>
      </x:c>
      <x:c r="B47" s="7" t="s">
        <x:v>698</x:v>
      </x:c>
      <x:c r="C47" s="7" t="s">
        <x:v>572</x:v>
      </x:c>
      <x:c r="D47" s="9">
        <x:v>1</x:v>
      </x:c>
      <x:c r="E47" s="10" t="s">
        <x:v>699</x:v>
      </x:c>
    </x:row>
    <x:row r="48" ht="28" customHeight="1">
      <x:c r="A48" s="8" t="s">
        <x:v>700</x:v>
      </x:c>
      <x:c r="B48" s="7" t="s">
        <x:v>701</x:v>
      </x:c>
      <x:c r="C48" s="7" t="s">
        <x:v>702</x:v>
      </x:c>
      <x:c r="D48" s="9">
        <x:v>6</x:v>
      </x:c>
      <x:c r="E48" s="10" t="s">
        <x:v>703</x:v>
      </x:c>
    </x:row>
    <x:row r="49" ht="28" customHeight="1">
      <x:c r="A49" s="8" t="s">
        <x:v>704</x:v>
      </x:c>
      <x:c r="B49" s="7" t="s">
        <x:v>705</x:v>
      </x:c>
      <x:c r="C49" s="7" t="s">
        <x:v>706</x:v>
      </x:c>
      <x:c r="D49" s="9">
        <x:v>1</x:v>
      </x:c>
      <x:c r="E49" s="10"/>
    </x:row>
    <x:row r="50" ht="28" customHeight="1">
      <x:c r="A50" s="8" t="s">
        <x:v>707</x:v>
      </x:c>
      <x:c r="B50" s="7" t="s">
        <x:v>708</x:v>
      </x:c>
      <x:c r="C50" s="7" t="s">
        <x:v>671</x:v>
      </x:c>
      <x:c r="D50" s="9">
        <x:v>1</x:v>
      </x:c>
      <x:c r="E50" s="10"/>
    </x:row>
    <x:row r="51" ht="28" customHeight="1">
      <x:c r="A51" s="8" t="s">
        <x:v>709</x:v>
      </x:c>
      <x:c r="B51" s="7" t="s">
        <x:v>710</x:v>
      </x:c>
      <x:c r="C51" s="7" t="s">
        <x:v>711</x:v>
      </x:c>
      <x:c r="D51" s="9">
        <x:v>2</x:v>
      </x:c>
      <x:c r="E51" s="10" t="s">
        <x:v>712</x:v>
      </x:c>
    </x:row>
    <x:row r="52" ht="28" customHeight="1">
      <x:c r="A52" s="8" t="s">
        <x:v>713</x:v>
      </x:c>
      <x:c r="B52" s="7" t="s">
        <x:v>714</x:v>
      </x:c>
      <x:c r="C52" s="7" t="s">
        <x:v>715</x:v>
      </x:c>
      <x:c r="D52" s="9">
        <x:v>1</x:v>
      </x:c>
      <x:c r="E52" s="10" t="s">
        <x:v>716</x:v>
      </x:c>
    </x:row>
    <x:row r="53" ht="28" customHeight="1">
      <x:c r="A53" s="8" t="s">
        <x:v>717</x:v>
      </x:c>
      <x:c r="B53" s="7" t="s">
        <x:v>718</x:v>
      </x:c>
      <x:c r="C53" s="7" t="s">
        <x:v>719</x:v>
      </x:c>
      <x:c r="D53" s="9">
        <x:v>4</x:v>
      </x:c>
      <x:c r="E53" s="10" t="s">
        <x:v>720</x:v>
      </x:c>
    </x:row>
    <x:row r="54" ht="28" customHeight="1">
      <x:c r="A54" s="8" t="s">
        <x:v>721</x:v>
      </x:c>
      <x:c r="B54" s="7" t="s">
        <x:v>722</x:v>
      </x:c>
      <x:c r="C54" s="7" t="s">
        <x:v>723</x:v>
      </x:c>
      <x:c r="D54" s="9">
        <x:v>1</x:v>
      </x:c>
      <x:c r="E54" s="10"/>
    </x:row>
    <x:row r="55" ht="28" customHeight="1">
      <x:c r="A55" s="8" t="s">
        <x:v>724</x:v>
      </x:c>
      <x:c r="B55" s="7" t="s">
        <x:v>725</x:v>
      </x:c>
      <x:c r="C55" s="7" t="s">
        <x:v>726</x:v>
      </x:c>
      <x:c r="D55" s="9">
        <x:v>1</x:v>
      </x:c>
      <x:c r="E55" s="10" t="s">
        <x:v>727</x:v>
      </x:c>
    </x:row>
    <x:row r="56" ht="28" customHeight="1">
      <x:c r="A56" s="8" t="s">
        <x:v>728</x:v>
      </x:c>
      <x:c r="B56" s="7" t="s">
        <x:v>729</x:v>
      </x:c>
      <x:c r="C56" s="7" t="s">
        <x:v>730</x:v>
      </x:c>
      <x:c r="D56" s="9">
        <x:v>1</x:v>
      </x:c>
      <x:c r="E56" s="10" t="s">
        <x:v>731</x:v>
      </x:c>
    </x:row>
    <x:row r="57" ht="28" customHeight="1">
      <x:c r="A57" s="8" t="s">
        <x:v>732</x:v>
      </x:c>
      <x:c r="B57" s="7" t="s">
        <x:v>733</x:v>
      </x:c>
      <x:c r="C57" s="7" t="s">
        <x:v>734</x:v>
      </x:c>
      <x:c r="D57" s="9">
        <x:v>1</x:v>
      </x:c>
      <x:c r="E57" s="10" t="s">
        <x:v>735</x:v>
      </x:c>
    </x:row>
    <x:row r="58" ht="28" customHeight="1">
      <x:c r="A58" s="8" t="s">
        <x:v>736</x:v>
      </x:c>
      <x:c r="B58" s="7" t="s">
        <x:v>737</x:v>
      </x:c>
      <x:c r="C58" s="7" t="s">
        <x:v>738</x:v>
      </x:c>
      <x:c r="D58" s="9">
        <x:v>3</x:v>
      </x:c>
      <x:c r="E58" s="10" t="s">
        <x:v>739</x:v>
      </x:c>
    </x:row>
    <x:row r="59" ht="28" customHeight="1">
      <x:c r="A59" s="8" t="s">
        <x:v>740</x:v>
      </x:c>
      <x:c r="B59" s="7" t="s">
        <x:v>741</x:v>
      </x:c>
      <x:c r="C59" s="7" t="s">
        <x:v>576</x:v>
      </x:c>
      <x:c r="D59" s="9">
        <x:v>1</x:v>
      </x:c>
      <x:c r="E59" s="10"/>
    </x:row>
    <x:row r="60" ht="28" customHeight="1">
      <x:c r="A60" s="8" t="s">
        <x:v>742</x:v>
      </x:c>
      <x:c r="B60" s="7" t="s">
        <x:v>743</x:v>
      </x:c>
      <x:c r="C60" s="7" t="s">
        <x:v>613</x:v>
      </x:c>
      <x:c r="D60" s="9">
        <x:v>1</x:v>
      </x:c>
      <x:c r="E60" s="10"/>
    </x:row>
    <x:row r="61" ht="28" customHeight="1">
      <x:c r="A61" s="8" t="s">
        <x:v>744</x:v>
      </x:c>
      <x:c r="B61" s="7" t="s">
        <x:v>745</x:v>
      </x:c>
      <x:c r="C61" s="7" t="s">
        <x:v>597</x:v>
      </x:c>
      <x:c r="D61" s="9">
        <x:v>1</x:v>
      </x:c>
      <x:c r="E61" s="10"/>
    </x:row>
    <x:row r="62" ht="28" customHeight="1">
      <x:c r="A62" s="8" t="s">
        <x:v>746</x:v>
      </x:c>
      <x:c r="B62" s="7" t="s">
        <x:v>747</x:v>
      </x:c>
      <x:c r="C62" s="7" t="s">
        <x:v>603</x:v>
      </x:c>
      <x:c r="D62" s="9">
        <x:v>1</x:v>
      </x:c>
      <x:c r="E62" s="10" t="s">
        <x:v>748</x:v>
      </x:c>
    </x:row>
    <x:row r="63" ht="28" customHeight="1">
      <x:c r="A63" s="8" t="s">
        <x:v>749</x:v>
      </x:c>
      <x:c r="B63" s="7" t="s">
        <x:v>750</x:v>
      </x:c>
      <x:c r="C63" s="7" t="s">
        <x:v>597</x:v>
      </x:c>
      <x:c r="D63" s="9">
        <x:v>1</x:v>
      </x:c>
      <x:c r="E63" s="10"/>
    </x:row>
    <x:row r="64" ht="28" customHeight="1">
      <x:c r="A64" s="8" t="s">
        <x:v>751</x:v>
      </x:c>
      <x:c r="B64" s="7" t="s">
        <x:v>752</x:v>
      </x:c>
      <x:c r="C64" s="7" t="s">
        <x:v>753</x:v>
      </x:c>
      <x:c r="D64" s="9">
        <x:v>1</x:v>
      </x:c>
      <x:c r="E64" s="10"/>
    </x:row>
    <x:row r="65" ht="28" customHeight="1">
      <x:c r="A65" s="8" t="s">
        <x:v>754</x:v>
      </x:c>
      <x:c r="B65" s="7" t="s">
        <x:v>755</x:v>
      </x:c>
      <x:c r="C65" s="7" t="s">
        <x:v>756</x:v>
      </x:c>
      <x:c r="D65" s="9">
        <x:v>1</x:v>
      </x:c>
      <x:c r="E65" s="10"/>
    </x:row>
    <x:row r="66" ht="28" customHeight="1">
      <x:c r="A66" s="8" t="s">
        <x:v>757</x:v>
      </x:c>
      <x:c r="B66" s="7" t="s">
        <x:v>758</x:v>
      </x:c>
      <x:c r="C66" s="7" t="s">
        <x:v>586</x:v>
      </x:c>
      <x:c r="D66" s="9">
        <x:v>1</x:v>
      </x:c>
      <x:c r="E66" s="10"/>
    </x:row>
    <x:row r="67" ht="28" customHeight="1">
      <x:c r="A67" s="8" t="s">
        <x:v>759</x:v>
      </x:c>
      <x:c r="B67" s="7" t="s">
        <x:v>760</x:v>
      </x:c>
      <x:c r="C67" s="7" t="s">
        <x:v>738</x:v>
      </x:c>
      <x:c r="D67" s="9">
        <x:v>3</x:v>
      </x:c>
      <x:c r="E67" s="10" t="s">
        <x:v>761</x:v>
      </x:c>
    </x:row>
    <x:row r="68" ht="28" customHeight="1">
      <x:c r="A68" s="8" t="s">
        <x:v>762</x:v>
      </x:c>
      <x:c r="B68" s="7" t="s">
        <x:v>763</x:v>
      </x:c>
      <x:c r="C68" s="7" t="s">
        <x:v>613</x:v>
      </x:c>
      <x:c r="D68" s="9">
        <x:v>1</x:v>
      </x:c>
      <x:c r="E68" s="10" t="s">
        <x:v>764</x:v>
      </x:c>
    </x:row>
    <x:row r="69" ht="28" customHeight="1">
      <x:c r="A69" s="8" t="s">
        <x:v>765</x:v>
      </x:c>
      <x:c r="B69" s="7" t="s">
        <x:v>766</x:v>
      </x:c>
      <x:c r="C69" s="7" t="s">
        <x:v>593</x:v>
      </x:c>
      <x:c r="D69" s="9">
        <x:v>1</x:v>
      </x:c>
      <x:c r="E69" s="10"/>
    </x:row>
    <x:row r="70" ht="28" customHeight="1">
      <x:c r="A70" s="8" t="s">
        <x:v>767</x:v>
      </x:c>
      <x:c r="B70" s="7" t="s">
        <x:v>768</x:v>
      </x:c>
      <x:c r="C70" s="7" t="s">
        <x:v>621</x:v>
      </x:c>
      <x:c r="D70" s="9">
        <x:v>1</x:v>
      </x:c>
      <x:c r="E70" s="10"/>
    </x:row>
    <x:row r="71" ht="28" customHeight="1">
      <x:c r="A71" s="8" t="s">
        <x:v>769</x:v>
      </x:c>
      <x:c r="B71" s="7" t="s">
        <x:v>770</x:v>
      </x:c>
      <x:c r="C71" s="7" t="s">
        <x:v>771</x:v>
      </x:c>
      <x:c r="D71" s="9">
        <x:v>1</x:v>
      </x:c>
      <x:c r="E71" s="10"/>
    </x:row>
    <x:row r="72" ht="28" customHeight="1">
      <x:c r="A72" s="8" t="s">
        <x:v>772</x:v>
      </x:c>
      <x:c r="B72" s="7" t="s">
        <x:v>773</x:v>
      </x:c>
      <x:c r="C72" s="7" t="s">
        <x:v>774</x:v>
      </x:c>
      <x:c r="D72" s="9">
        <x:v>7</x:v>
      </x:c>
      <x:c r="E72" s="10" t="s">
        <x:v>775</x:v>
      </x:c>
    </x:row>
    <x:row r="73" ht="28" customHeight="1">
      <x:c r="A73" s="8" t="s">
        <x:v>776</x:v>
      </x:c>
      <x:c r="B73" s="7" t="s">
        <x:v>777</x:v>
      </x:c>
      <x:c r="C73" s="7" t="s">
        <x:v>778</x:v>
      </x:c>
      <x:c r="D73" s="9">
        <x:v>1</x:v>
      </x:c>
      <x:c r="E73" s="10" t="s">
        <x:v>779</x:v>
      </x:c>
    </x:row>
    <x:row r="74" ht="28" customHeight="1">
      <x:c r="A74" s="8" t="s">
        <x:v>780</x:v>
      </x:c>
      <x:c r="B74" s="7" t="s">
        <x:v>781</x:v>
      </x:c>
      <x:c r="C74" s="7" t="s">
        <x:v>579</x:v>
      </x:c>
      <x:c r="D74" s="9">
        <x:v>1</x:v>
      </x:c>
      <x:c r="E74" s="10" t="s">
        <x:v>782</x:v>
      </x:c>
    </x:row>
    <x:row r="75" ht="28" customHeight="1">
      <x:c r="A75" s="8" t="s">
        <x:v>783</x:v>
      </x:c>
      <x:c r="B75" s="7" t="s">
        <x:v>784</x:v>
      </x:c>
      <x:c r="C75" s="7" t="s">
        <x:v>694</x:v>
      </x:c>
      <x:c r="D75" s="9">
        <x:v>1</x:v>
      </x:c>
      <x:c r="E75" s="10"/>
    </x:row>
    <x:row r="76" ht="28" customHeight="1">
      <x:c r="A76" s="8" t="s">
        <x:v>785</x:v>
      </x:c>
      <x:c r="B76" s="7" t="s">
        <x:v>786</x:v>
      </x:c>
      <x:c r="C76" s="7" t="s">
        <x:v>663</x:v>
      </x:c>
      <x:c r="D76" s="9">
        <x:v>1</x:v>
      </x:c>
      <x:c r="E76" s="10" t="s">
        <x:v>787</x:v>
      </x:c>
    </x:row>
    <x:row r="77" ht="28" customHeight="1">
      <x:c r="A77" s="8" t="s">
        <x:v>788</x:v>
      </x:c>
      <x:c r="B77" s="7" t="s">
        <x:v>789</x:v>
      </x:c>
      <x:c r="C77" s="7" t="s">
        <x:v>771</x:v>
      </x:c>
      <x:c r="D77" s="9">
        <x:v>1</x:v>
      </x:c>
      <x:c r="E77" s="10" t="s">
        <x:v>790</x:v>
      </x:c>
    </x:row>
    <x:row r="78" ht="28" customHeight="1">
      <x:c r="A78" s="8" t="s">
        <x:v>791</x:v>
      </x:c>
      <x:c r="B78" s="7" t="s">
        <x:v>792</x:v>
      </x:c>
      <x:c r="C78" s="7" t="s">
        <x:v>568</x:v>
      </x:c>
      <x:c r="D78" s="9">
        <x:v>2</x:v>
      </x:c>
      <x:c r="E78" s="10" t="s">
        <x:v>793</x:v>
      </x:c>
    </x:row>
    <x:row r="79" ht="28" customHeight="1">
      <x:c r="A79" s="8" t="s">
        <x:v>794</x:v>
      </x:c>
      <x:c r="B79" s="7" t="s">
        <x:v>795</x:v>
      </x:c>
      <x:c r="C79" s="7" t="s">
        <x:v>663</x:v>
      </x:c>
      <x:c r="D79" s="9">
        <x:v>1</x:v>
      </x:c>
      <x:c r="E79" s="10"/>
    </x:row>
    <x:row r="80" ht="28" customHeight="1">
      <x:c r="A80" s="8" t="s">
        <x:v>796</x:v>
      </x:c>
      <x:c r="B80" s="7" t="s">
        <x:v>797</x:v>
      </x:c>
      <x:c r="C80" s="7" t="s">
        <x:v>798</x:v>
      </x:c>
      <x:c r="D80" s="9">
        <x:v>1</x:v>
      </x:c>
      <x:c r="E80" s="10" t="s">
        <x:v>799</x:v>
      </x:c>
    </x:row>
    <x:row r="81" ht="28" customHeight="1">
      <x:c r="A81" s="8" t="s">
        <x:v>800</x:v>
      </x:c>
      <x:c r="B81" s="7" t="s">
        <x:v>149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#081, #082</x:v>
      </x:c>
      <x:c r="D81" s="9" t="n">
        <x:v>80</x:v>
      </x:c>
      <x:c r="E81" s="10" t="s">
        <x:v>801</x:v>
      </x:c>
    </x:row>
    <x:row r="82" ht="28" customHeight="1">
      <x:c r="A82" s="8" t="s">
        <x:v>802</x:v>
      </x:c>
      <x:c r="B82" s="7" t="s">
        <x:v>803</x:v>
      </x:c>
      <x:c r="C82" s="7" t="s">
        <x:v>804</x:v>
      </x:c>
      <x:c r="D82" s="9">
        <x:v>8</x:v>
      </x:c>
      <x:c r="E82" s="10" t="s">
        <x:v>805</x:v>
      </x:c>
    </x:row>
    <x:row r="83" ht="28" customHeight="1">
      <x:c r="A83" s="8" t="s">
        <x:v>806</x:v>
      </x:c>
      <x:c r="B83" s="7" t="s">
        <x:v>807</x:v>
      </x:c>
      <x:c r="C83" s="7" t="s">
        <x:v>586</x:v>
      </x:c>
      <x:c r="D83" s="9">
        <x:v>1</x:v>
      </x:c>
      <x:c r="E83" s="10"/>
    </x:row>
    <x:row r="84" ht="28" customHeight="1">
      <x:c r="A84" s="8" t="s">
        <x:v>808</x:v>
      </x:c>
      <x:c r="B84" s="7" t="s">
        <x:v>809</x:v>
      </x:c>
      <x:c r="C84" s="7" t="s">
        <x:v>810</x:v>
      </x:c>
      <x:c r="D84" s="9">
        <x:v>1</x:v>
      </x:c>
      <x:c r="E84" s="10"/>
    </x:row>
    <x:row r="85" ht="28" customHeight="1">
      <x:c r="A85" s="8" t="s">
        <x:v>811</x:v>
      </x:c>
      <x:c r="B85" s="7" t="s">
        <x:v>812</x:v>
      </x:c>
      <x:c r="C85" s="7" t="s">
        <x:v>589</x:v>
      </x:c>
      <x:c r="D85" s="9">
        <x:v>1</x:v>
      </x:c>
      <x:c r="E85" s="10" t="s">
        <x:v>813</x:v>
      </x:c>
    </x:row>
    <x:row r="86" ht="28" customHeight="1">
      <x:c r="A86" s="8" t="s">
        <x:v>814</x:v>
      </x:c>
      <x:c r="B86" s="7" t="s">
        <x:v>815</x:v>
      </x:c>
      <x:c r="C86" s="7" t="s">
        <x:v>816</x:v>
      </x:c>
      <x:c r="D86" s="9">
        <x:v>1</x:v>
      </x:c>
      <x:c r="E86" s="10" t="s">
        <x:v>817</x:v>
      </x:c>
    </x:row>
    <x:row r="87" ht="28" customHeight="1">
      <x:c r="A87" s="8" t="s">
        <x:v>818</x:v>
      </x:c>
      <x:c r="B87" s="7" t="s">
        <x:v>819</x:v>
      </x:c>
      <x:c r="C87" s="7" t="s">
        <x:v>820</x:v>
      </x:c>
      <x:c r="D87" s="9">
        <x:v>1</x:v>
      </x:c>
      <x:c r="E87" s="10" t="s">
        <x:v>821</x:v>
      </x:c>
    </x:row>
    <x:row r="88" ht="28" customHeight="1">
      <x:c r="A88" s="8" t="s">
        <x:v>822</x:v>
      </x:c>
      <x:c r="B88" s="7" t="s">
        <x:v>823</x:v>
      </x:c>
      <x:c r="C88" s="7" t="s">
        <x:v>694</x:v>
      </x:c>
      <x:c r="D88" s="9">
        <x:v>1</x:v>
      </x:c>
      <x:c r="E88" s="10"/>
    </x:row>
    <x:row r="89" ht="28" customHeight="1">
      <x:c r="A89" s="8" t="s">
        <x:v>824</x:v>
      </x:c>
      <x:c r="B89" s="7" t="s">
        <x:v>825</x:v>
      </x:c>
      <x:c r="C89" s="7" t="s">
        <x:v>610</x:v>
      </x:c>
      <x:c r="D89" s="9">
        <x:v>1</x:v>
      </x:c>
      <x:c r="E89" s="10"/>
    </x:row>
    <x:row r="90" ht="28" customHeight="1">
      <x:c r="A90" s="8" t="s">
        <x:v>826</x:v>
      </x:c>
      <x:c r="B90" s="7" t="s">
        <x:v>827</x:v>
      </x:c>
      <x:c r="C90" s="7" t="s">
        <x:v>738</x:v>
      </x:c>
      <x:c r="D90" s="9">
        <x:v>3</x:v>
      </x:c>
      <x:c r="E90" s="10" t="s">
        <x:v>828</x:v>
      </x:c>
    </x:row>
    <x:row r="91" ht="28" customHeight="1">
      <x:c r="A91" s="8" t="s">
        <x:v>829</x:v>
      </x:c>
      <x:c r="B91" s="7" t="s">
        <x:v>830</x:v>
      </x:c>
      <x:c r="C91" s="7" t="s">
        <x:v>831</x:v>
      </x:c>
      <x:c r="D91" s="9">
        <x:v>1</x:v>
      </x:c>
      <x:c r="E91" s="10"/>
    </x:row>
    <x:row r="92" ht="28" customHeight="1">
      <x:c r="A92" s="8" t="s">
        <x:v>832</x:v>
      </x:c>
      <x:c r="B92" s="7" t="s">
        <x:v>833</x:v>
      </x:c>
      <x:c r="C92" s="7" t="s">
        <x:v>834</x:v>
      </x:c>
      <x:c r="D92" s="9">
        <x:v>3</x:v>
      </x:c>
      <x:c r="E92" s="10" t="s">
        <x:v>835</x:v>
      </x:c>
    </x:row>
    <x:row r="93" ht="28" customHeight="1">
      <x:c r="A93" s="8" t="s">
        <x:v>836</x:v>
      </x:c>
      <x:c r="B93" s="7" t="s">
        <x:v>837</x:v>
      </x:c>
      <x:c r="C93" s="7" t="s">
        <x:v>771</x:v>
      </x:c>
      <x:c r="D93" s="9">
        <x:v>1</x:v>
      </x:c>
      <x:c r="E93" s="10"/>
    </x:row>
    <x:row r="94" ht="28" customHeight="1">
      <x:c r="A94" s="8" t="s">
        <x:v>838</x:v>
      </x:c>
      <x:c r="B94" s="7" t="s">
        <x:v>839</x:v>
      </x:c>
      <x:c r="C94" s="7" t="s">
        <x:v>663</x:v>
      </x:c>
      <x:c r="D94" s="9">
        <x:v>1</x:v>
      </x:c>
      <x:c r="E94" s="10" t="s">
        <x:v>840</x:v>
      </x:c>
    </x:row>
    <x:row r="95" ht="28" customHeight="1">
      <x:c r="A95" s="8" t="s">
        <x:v>841</x:v>
      </x:c>
      <x:c r="B95" s="7" t="s">
        <x:v>842</x:v>
      </x:c>
      <x:c r="C95" s="7" t="s">
        <x:v>660</x:v>
      </x:c>
      <x:c r="D95" s="9">
        <x:v>1</x:v>
      </x:c>
      <x:c r="E95" s="10"/>
    </x:row>
    <x:row r="96" ht="28" customHeight="1">
      <x:c r="A96" s="8" t="s">
        <x:v>843</x:v>
      </x:c>
      <x:c r="B96" s="7" t="s">
        <x:v>844</x:v>
      </x:c>
      <x:c r="C96" s="7" t="s">
        <x:v>845</x:v>
      </x:c>
      <x:c r="D96" s="9">
        <x:v>4</x:v>
      </x:c>
      <x:c r="E96" s="10" t="s">
        <x:v>846</x:v>
      </x:c>
    </x:row>
    <x:row r="97" ht="28" customHeight="1">
      <x:c r="A97" s="8" t="s">
        <x:v>847</x:v>
      </x:c>
      <x:c r="B97" s="7" t="s">
        <x:v>848</x:v>
      </x:c>
      <x:c r="C97" s="7" t="s">
        <x:v>810</x:v>
      </x:c>
      <x:c r="D97" s="9">
        <x:v>1</x:v>
      </x:c>
      <x:c r="E97" s="10" t="s">
        <x:v>849</x:v>
      </x:c>
    </x:row>
    <x:row r="98">
      <x:c r="A98" t="s">
        <x:v>850</x:v>
      </x:c>
      <x:c r="B98" t="s">
        <x:v>851</x:v>
      </x:c>
      <x:c r="C98" t="s">
        <x:v>852</x:v>
      </x:c>
      <x:c r="D98">
        <x:v>1</x:v>
      </x:c>
    </x:row>
    <x:row r="99" ht="28" customHeight="1">
      <x:c r="A99" s="8" t="str">
        <x:v>P095</x:v>
      </x:c>
      <x:c r="B99" s="7" t="str">
        <x:v>malcolm</x:v>
      </x:c>
      <x:c r="C99" s="7" t="str">
        <x:v>#082</x:v>
      </x:c>
      <x:c r="D99" s="9" t="n">
        <x:v>1</x:v>
      </x:c>
      <x:c r="E99" s="10"/>
    </x:row>
    <x:row r="100" ht="28" customHeight="1">
      <x:c r="A100" t="str">
        <x:v>P096</x:v>
      </x:c>
      <x:c r="B100" t="str">
        <x:v>ben</x:v>
      </x:c>
      <x:c r="C100" t="str">
        <x:v>#082</x:v>
      </x:c>
      <x:c r="D100" t="n">
        <x:v>1</x:v>
      </x:c>
      <x:c r="E100"/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2">
    <x:dataValidation type="custom" sqref="E5:E97">
      <x:formula1>OR(E5="",LEFT(E5,8)="https://")</x:formula1>
    </x:dataValidation>
    <x:dataValidation type="custom" sqref="E99:E100">
      <x:formula1>OR(E99="",LEFT(E99,8)="https://")</x:formula1>
    </x:dataValidation>
  </x:dataValidations>
  <x:hyperlinks>
    <x:hyperlink xmlns:r="http://schemas.openxmlformats.org/officeDocument/2006/relationships" ref="E40" r:id="Rc565807ee679498e"/>
    <x:hyperlink xmlns:r="http://schemas.openxmlformats.org/officeDocument/2006/relationships" ref="E41" r:id="R71fad2f457c8464b"/>
  </x:hyperlinks>
  <x:pageMargins left="0.7" right="0.7" top="0.75" bottom="0.75" header="0.3" footer="0.3"/>
  <x:tableParts count="1">
    <x:tablePart xmlns:r="http://schemas.openxmlformats.org/officeDocument/2006/relationships" r:id="R135a4d7c01274a6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853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84" customHeight="1">
      <x:c r="A4" s="8" t="str">
        <x:v>#001</x:v>
      </x:c>
      <x:c r="B4" s="10"/>
      <x:c r="C4" s="10"/>
      <x:c r="D4" s="10" t="str">
        <x:v>https://www.facebook.com/sayyid.iskandar/posts/pfbid0ogQdpWx2LUNArSKAKKimACFr4B4h9F45WdQcr5S6z5GY2zjj8iLgJ2sZNPWS5Jfzl
https://www.facebook.com/sayyid.iskandar/posts/pfbid0JuMHrNyVuL8p2rXodooSC2BMtyKUoxQykEgWGwQWAahSV1WBTqc32gN6xbHj3vPHl</x:v>
      </x:c>
    </x:row>
    <x:row r="5" ht="28" customHeight="1">
      <x:c r="A5" s="8" t="str">
        <x:v>#002</x:v>
      </x:c>
      <x:c r="B5" s="10"/>
      <x:c r="C5" s="10"/>
      <x:c r="D5" s="10"/>
    </x:row>
    <x:row r="6" ht="84" customHeight="1">
      <x:c r="A6" s="8" t="str">
        <x:v>#003</x:v>
      </x:c>
      <x:c r="B6" s="10"/>
      <x:c r="C6" s="10"/>
      <x:c r="D6" s="10" t="str">
        <x:v>https://www.facebook.com/sayyid.iskandar/posts/pfbid02Pe825qMCQjUtnq2pV3hrWkjA4M4d84rnu5A5EcKpJvVgUcryDreMbBctzf1tfRmUl
https://www.facebook.com/sayyid.iskandar/posts/pfbid02cFPjLu46modzujHU2tLgNSXrfdTdnXLLAm35UdVFj8UU7YsW9KQWLoXJinq2ahDxl</x:v>
      </x:c>
    </x:row>
    <x:row r="7" ht="120" customHeight="1">
      <x:c r="A7" s="8" t="str">
        <x:v>#004</x:v>
      </x:c>
      <x:c r="B7" s="10"/>
      <x:c r="C7" s="10"/>
      <x:c r="D7" s="10" t="str">
        <x:v>https://www.facebook.com/sayyid.iskandar/posts/pfbid02QfCpBUfGf9gB7XUei4Ae1drQUUNTGB4kZ9YapS9UFHoRgZraHtLAxAH8ZFwEhDUjl
https://www.facebook.com/sayyid.iskandar/posts/pfbid02xWVaKc162oHH24BsD74ahzCfmm8sxyfUve5BQx6QSGWP4ui1qZ8jFyFW5y7YATQDl
https://www.facebook.com/sayyid.iskandar/videos/10210289416564568</x:v>
      </x:c>
    </x:row>
    <x:row r="8" ht="48" customHeight="1">
      <x:c r="A8" s="8" t="str">
        <x:v>#005</x:v>
      </x:c>
      <x:c r="B8" s="10"/>
      <x:c r="C8" s="10"/>
      <x:c r="D8" s="10" t="str">
        <x:v>https://www.facebook.com/sayyid.iskandar/posts/pfbid02X4jiUxGYyFQLfWEU3hXSYcFXApxW1jkvmFrymrxJMs8SLy6DFkGs18d8r79RvMN3l</x:v>
      </x:c>
    </x:row>
    <x:row r="9" ht="28" customHeight="1">
      <x:c r="A9" s="8" t="str">
        <x:v>#006</x:v>
      </x:c>
      <x:c r="B9" s="10"/>
      <x:c r="C9" s="10"/>
      <x:c r="D9" s="10"/>
    </x:row>
    <x:row r="10" ht="48" customHeight="1">
      <x:c r="A10" s="8" t="str">
        <x:v>#007</x:v>
      </x:c>
      <x:c r="B10" s="10"/>
      <x:c r="C10" s="10"/>
      <x:c r="D10" s="10" t="str">
        <x:v>https://www.facebook.com/sayyid.iskandar/posts/pfbid02NBhicQaWczUn66QfNweW7URQXUZKKAcsg3eTgoJCqCwJW9F6MJtmCUxpTPrwVxoQl</x:v>
      </x:c>
    </x:row>
    <x:row r="11" ht="84" customHeight="1">
      <x:c r="A11" s="8" t="str">
        <x:v>#008</x:v>
      </x:c>
      <x:c r="B11" s="10"/>
      <x:c r="C11" s="10"/>
      <x:c r="D11" s="10" t="str">
        <x:v>https://www.facebook.com/sayyid.iskandar/posts/pfbid0uwy9BCTkt3XqZNcBiidhqdL2GSWbMeJNGDfiKniH3j4ti4TcVCLHwCTXjB51cR8Ql
https://www.facebook.com/sayyid.iskandar/posts/pfbid026kQ2whd21UBFZF4GSUKfv9FKKAvpvcwcMUSdFRGK2K6KZSkyMbFU3UCdxU3suEv2l</x:v>
      </x:c>
    </x:row>
    <x:row r="12" ht="48" customHeight="1">
      <x:c r="A12" s="8" t="str">
        <x:v>#009</x:v>
      </x:c>
      <x:c r="B12" s="10"/>
      <x:c r="C12" s="10"/>
      <x:c r="D12" s="10" t="str">
        <x:v>https://www.facebook.com/sayyid.iskandar/posts/pfbid0YHWL1WEfz9ENeK6XvwKpywbbHukJhTSJmUzxmPmuohjWXK4GM2ckM1enzRRuHGNHl</x:v>
      </x:c>
    </x:row>
    <x:row r="13" ht="192" customHeight="1">
      <x:c r="A13" s="8" t="str">
        <x:v>#010</x:v>
      </x:c>
      <x:c r="B13" s="10"/>
      <x:c r="C13" s="10"/>
      <x:c r="D13" s="10" t="str">
        <x:v>https://www.facebook.com/sayyid.iskandar/posts/pfbid02yZ73n5t1GsZz7USH3NZvSkmpsGs7Yk3DV6UU7aWqAmRDBhc69prZQKpyGtdVq1X6l
https://www.facebook.com/sayyid.iskandar/posts/pfbid02oymiDX42WvPTV4h9rMKKgNsHByjdj3gUXFp5fwEr7Qic8byjMyRsgccTrtaVBoHcl
https://www.facebook.com/sayyid.iskandar/posts/pfbid0FBLFEGUBkNjnSkzyy8uaHp4AnkKKaRkRGpnUw4UrgEEJYUm5hMm8eeqtyF2V3P2ol
https://www.facebook.com/sayyid.iskandar/posts/pfbid02aqvRmi2EDB3n7ToYfyFX3BJsA4hwrzqCJ4dKEHgVeR9xLkDjBhGmeYdPcS8JMY1fl
https://www.facebook.com/sayyid.iskandar/posts/pfbid0omyhn65dXJyzhuUS8fJqYHFhTLXv7hJBCPsqzvZTCxwtHtvFHtVng2i8a4V47kHRl</x:v>
      </x:c>
    </x:row>
    <x:row r="14" ht="84" customHeight="1">
      <x:c r="A14" s="8" t="str">
        <x:v>#011</x:v>
      </x:c>
      <x:c r="B14" s="10"/>
      <x:c r="C14" s="10" t="str">
        <x:v>https://www.instagram.com/p/BZsdBDyAuNk/</x:v>
      </x:c>
      <x:c r="D14" s="10" t="str">
        <x:v>https://www.facebook.com/sayyid.iskandar/posts/pfbid0aBGBjBkAzz7p2g9as9mHpRwCHhfiZiCChneX1PgBXtJhM56TumXpqyjV27YJhJB9l
https://www.facebook.com/sayyid.iskandar/posts/pfbid0jcQTaYy48XkBSZLPBAVVtyXueuJXGCdUSuoMJWJDdhunTph6aCxCSFcyiaSiFTqwl</x:v>
      </x:c>
    </x:row>
    <x:row r="15" ht="120" customHeight="1">
      <x:c r="A15" s="8" t="str">
        <x:v>#012</x:v>
      </x:c>
      <x:c r="B15" s="10"/>
      <x:c r="C15" s="10"/>
      <x:c r="D15" s="10" t="str">
        <x:v>https://www.facebook.com/sayyid.iskandar/posts/pfbid0AkMuVPaVJ3mMYbfBosv7ECbHCAuVC52VvoABN6MSUJkcE9JQTM9Ye6UYv5s7BcS4l
https://www.facebook.com/sayyid.iskandar/posts/pfbid0Q25FVnx4SpaoVkey3seYSqorseNZt8bHVRza8uheMBkUaYdBhokcNDac6JzawHx9l
https://www.facebook.com/sayyid.iskandar/videos/10213312919990264</x:v>
      </x:c>
    </x:row>
    <x:row r="16" ht="48" customHeight="1">
      <x:c r="A16" s="8" t="str">
        <x:v>#013</x:v>
      </x:c>
      <x:c r="B16" s="10"/>
      <x:c r="C16" s="10"/>
      <x:c r="D16" s="10" t="str">
        <x:v>https://www.facebook.com/sayyid.iskandar/posts/pfbid03ZwgHrQwG7GnWAYRUSaYZgujnXA7aeX99KJygABcoiSmRp6xHTepPaTkHs1M9dahl</x:v>
      </x:c>
    </x:row>
    <x:row r="17" ht="48" customHeight="1">
      <x:c r="A17" s="8" t="str">
        <x:v>#014</x:v>
      </x:c>
      <x:c r="B17" s="10"/>
      <x:c r="C17" s="10" t="str">
        <x:v>https://www.instagram.com/p/BgWUFk4FOSa/</x:v>
      </x:c>
      <x:c r="D17" s="10" t="str">
        <x:v>https://www.facebook.com/sayyid.iskandar/posts/pfbid0Xat33M7cUWfScT1SdqyxFqd8KJ4BJ9R3WswJ5E3PjjuPGnNbJHVRH1pMku1RVyGJl</x:v>
      </x:c>
    </x:row>
    <x:row r="18" ht="48" customHeight="1">
      <x:c r="A18" s="8" t="str">
        <x:v>#015</x:v>
      </x:c>
      <x:c r="B18" s="10"/>
      <x:c r="C18" s="10" t="str">
        <x:v>https://www.instagram.com/p/Bgvs2dLAeue/</x:v>
      </x:c>
      <x:c r="D18" s="10" t="str">
        <x:v>https://www.facebook.com/sayyid.iskandar/posts/pfbid08YUaE4nQB8T2iQpErGFfhgivhch2yHFAzkE7hUghCvzQRFSom2RwrmFjr1ZsULuAl</x:v>
      </x:c>
    </x:row>
    <x:row r="19" ht="48" customHeight="1">
      <x:c r="A19" s="8" t="str">
        <x:v>#016</x:v>
      </x:c>
      <x:c r="B19" s="10"/>
      <x:c r="C19" s="10"/>
      <x:c r="D19" s="10" t="str">
        <x:v>https://www.facebook.com/sayyid.iskandar/posts/pfbid031P3D6fyPnz9AMMiUkRgwJDxvgY2rKVYRf4uRbxSB3RvhWp69HW7a4ScTXEmUPkawl</x:v>
      </x:c>
    </x:row>
    <x:row r="20" ht="48" customHeight="1">
      <x:c r="A20" s="8" t="str">
        <x:v>#017</x:v>
      </x:c>
      <x:c r="B20" s="10"/>
      <x:c r="C20" s="10" t="str">
        <x:v>https://www.instagram.com/p/BjogOfOA6tG/</x:v>
      </x:c>
      <x:c r="D20" s="10" t="str">
        <x:v>https://www.facebook.com/sayyid.iskandar/posts/pfbid02bJgJZMw1fENXuobQA37tSYs5LT55UpQSVD2viVVp85hpK1j74S34LgitXSTRGbjhl</x:v>
      </x:c>
    </x:row>
    <x:row r="21" ht="84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 t="str">
        <x:v>https://www.facebook.com/sayyid.iskandar/posts/pfbid02yN5KYrHsMAbJCTR6QnnykwpRyhL6EmGvm1Gb5PqXbRqGvE8fuSc5TX1VHUnhGTeHl
https://www.facebook.com/sayyid.iskandar/posts/pfbid0rH7p6CV1VJVQearxzSiYzVtvNdgAE9wZke1a958NA2VHnjmex1vqqNa8sWCrVPfJl</x:v>
      </x:c>
    </x:row>
    <x:row r="22" ht="84" customHeight="1">
      <x:c r="A22" s="8" t="str">
        <x:v>#019</x:v>
      </x:c>
      <x:c r="B22" s="10"/>
      <x:c r="C22" s="10" t="str">
        <x:v>https://www.instagram.com/p/Bo6FW7zg0Zj/</x:v>
      </x:c>
      <x:c r="D22" s="10" t="str">
        <x:v>https://www.facebook.com/sayyid.iskandar/posts/pfbid0XfkiN31qdKWMbDrbnSQrUYRzD8ZFTUwFhM66rZUfKVZvU3Z48DQip8YpegHgjpwl
https://www.facebook.com/sayyid.iskandar/posts/pfbid02r8P3RzqydDWjdVSBTWbzmxh5w6otxAkvsk4yqSYG5LY2obqFW3xdA1k3c9kN7A7ml</x:v>
      </x:c>
    </x:row>
    <x:row r="23" ht="84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 t="str">
        <x:v>https://www.facebook.com/sayyid.iskandar/posts/pfbid0GRJUVpqfYh8v3TGgo1chLQejmF5BrcMV28WwCyVEUqiuc5tgtkdMCa5EwJ1Wzzosl
https://www.facebook.com/sayyid.iskandar/posts/pfbid0U9F9GsTbQvRFAGPqJj8no2Scec7FAvv344uzFx7vBcanYXsVRdo4DzhkeG7AEihBl</x:v>
      </x:c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48" customHeight="1">
      <x:c r="A25" s="8" t="str">
        <x:v>#022</x:v>
      </x:c>
      <x:c r="B25" s="10"/>
      <x:c r="C25" s="10"/>
      <x:c r="D25" s="10" t="str">
        <x:v>https://www.facebook.com/sayyid.iskandar/posts/pfbid02CYDgW956apDh6vS5rkroqZHDReuyuC8WigQRYaWjE4N88CoxpAggTqKSPHfwUniVl</x:v>
      </x:c>
    </x:row>
    <x:row r="26" ht="48" customHeight="1">
      <x:c r="A26" s="8" t="str">
        <x:v>#023</x:v>
      </x:c>
      <x:c r="B26" s="10"/>
      <x:c r="C26" s="10" t="str">
        <x:v>https://www.instagram.com/p/Bs2f8FHHXNo/</x:v>
      </x:c>
      <x:c r="D26" s="10" t="str">
        <x:v>https://www.facebook.com/sayyid.iskandar/posts/pfbid0pFAv6Z1WgvZpRv3mo5HSBKStwAfiFbu5ENAQerm2keCry85F3oVcxSAgGAER4ELFl</x:v>
      </x:c>
    </x:row>
    <x:row r="27" ht="48" customHeight="1">
      <x:c r="A27" s="8" t="str">
        <x:v>#024</x:v>
      </x:c>
      <x:c r="B27" s="10"/>
      <x:c r="C27" s="10"/>
      <x:c r="D27" s="10" t="str">
        <x:v>https://www.facebook.com/sayyid.iskandar/posts/pfbid02tsVvk3rWRKGWEnUdozMcJkjummCZ52YEuZY3tRgcyUBuGiuvKPcaXC9wePtfk4awl</x:v>
      </x:c>
    </x:row>
    <x:row r="28" ht="48" customHeight="1">
      <x:c r="A28" s="8" t="str">
        <x:v>#025</x:v>
      </x:c>
      <x:c r="B28" s="10"/>
      <x:c r="C28" s="10" t="str">
        <x:v>https://www.instagram.com/p/Bxo5Ka1FLrR/</x:v>
      </x:c>
      <x:c r="D28" s="10" t="str">
        <x:v>https://www.facebook.com/sayyid.iskandar/posts/pfbid02384PfN15y2n6QGJpDhQfXpWBd3Awwbi3azfoptEfu6K4DDqGQTME56XoRNF459Z1l</x:v>
      </x:c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48" customHeight="1">
      <x:c r="A41" s="8" t="str">
        <x:v>#038</x:v>
      </x:c>
      <x:c r="B41" s="10"/>
      <x:c r="C41" s="10"/>
      <x:c r="D41" s="10" t="str">
        <x:v>https://www.facebook.com/meetwanwei/posts/pfbid0hpDePCx4TwEv6X4meZFGeaDNuTvKwuBGPh526Dk9UPDXbGQcx81u5vRRMRVjavoWl</x:v>
      </x:c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4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 t="str">
        <x:v>https://www.facebook.com/meetwanwei/posts/pfbid02fC64ffhqpB8RDBYo11hz17WicCZDaaXkjpTUG7WmZN2Dqb9GJNEP8q9fH87ARNrQl</x:v>
      </x:c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4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 t="str">
        <x:v>https://www.facebook.com/meetwanwei/posts/pfbid0jjHWhKWrctzWV38DchuzkJ3tNtAVQVRiL3CNjebRftgrX8f2Eg1zgWAK2tbssgerl</x:v>
      </x:c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 ht="48" customHeight="1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 t="str">
        <x:v>https://www.facebook.com/meetwanwei/posts/pfbid0VCBcsxbqSoXbprpPTRXozC7ATgj6vzxQxoE1QLCnXcMat63PQQCUbEK4ibgWh4Wql</x:v>
      </x:c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  <x:row r="85" ht="60" customHeight="1">
      <x:c r="A85" s="525" t="str">
        <x:v>#082</x:v>
      </x:c>
      <x:c r="B85" s="526" t="str">
        <x:v>https://www.linkedin.com/posts/sayyidkhan92_hackathon-agenticai-agenticpayments-ugcPost-7516696461082836992-_vJ-/</x:v>
      </x:c>
      <x:c r="C85" s="526" t="str">
        <x:v>https://www.instagram.com/p/DeijGMznSNn/</x:v>
      </x:c>
      <x:c r="D85" s="526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f2186b6f4834ffc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854</x:v>
      </x:c>
      <x:c r="B1" s="20"/>
      <x:c r="C1" s="20"/>
    </x:row>
    <x:row r="2" ht="45.25" customHeight="1">
      <x:c r="A2" s="21" t="s">
        <x:v>855</x:v>
      </x:c>
      <x:c r="B2" s="21"/>
      <x:c r="C2" s="21"/>
    </x:row>
    <x:row r="4" ht="29.25" customHeight="1">
      <x:c r="A4" s="15" t="s">
        <x:v>856</x:v>
      </x:c>
      <x:c r="B4" s="15" t="s">
        <x:v>857</x:v>
      </x:c>
      <x:c r="C4" s="15" t="s">
        <x:v>858</x:v>
      </x:c>
    </x:row>
    <x:row r="5" ht="26.75" customHeight="1">
      <x:c r="A5" s="16" t="s">
        <x:v>282</x:v>
      </x:c>
      <x:c r="B5" s="16" t="s">
        <x:v>859</x:v>
      </x:c>
      <x:c r="C5" s="17"/>
    </x:row>
    <x:row r="6" ht="26.75" customHeight="1">
      <x:c r="A6" s="16" t="s">
        <x:v>147</x:v>
      </x:c>
      <x:c r="B6" s="16" t="s">
        <x:v>860</x:v>
      </x:c>
      <x:c r="C6" s="17"/>
    </x:row>
    <x:row r="7" ht="26.75" customHeight="1">
      <x:c r="A7" s="16" t="s">
        <x:v>349</x:v>
      </x:c>
      <x:c r="B7" s="16" t="s">
        <x:v>861</x:v>
      </x:c>
      <x:c r="C7" s="17"/>
    </x:row>
    <x:row r="8" ht="26.75" customHeight="1">
      <x:c r="A8" s="16" t="s">
        <x:v>422</x:v>
      </x:c>
      <x:c r="B8" s="16" t="s">
        <x:v>861</x:v>
      </x:c>
      <x:c r="C8" s="17"/>
    </x:row>
    <x:row r="9" ht="26.75" customHeight="1">
      <x:c r="A9" s="16" t="s">
        <x:v>318</x:v>
      </x:c>
      <x:c r="B9" s="16" t="s">
        <x:v>862</x:v>
      </x:c>
      <x:c r="C9" s="17"/>
    </x:row>
    <x:row r="10" ht="26.75" customHeight="1">
      <x:c r="A10" s="16" t="s">
        <x:v>339</x:v>
      </x:c>
      <x:c r="B10" s="16" t="s">
        <x:v>863</x:v>
      </x:c>
      <x:c r="C10" s="17" t="s">
        <x:v>864</x:v>
      </x:c>
    </x:row>
    <x:row r="11" ht="26.75" customHeight="1">
      <x:c r="A11" s="16" t="s">
        <x:v>865</x:v>
      </x:c>
      <x:c r="B11" s="16" t="s">
        <x:v>861</x:v>
      </x:c>
      <x:c r="C11" s="17"/>
    </x:row>
    <x:row r="12" ht="26.75" customHeight="1">
      <x:c r="A12" s="16" t="s">
        <x:v>866</x:v>
      </x:c>
      <x:c r="B12" s="16" t="s">
        <x:v>867</x:v>
      </x:c>
      <x:c r="C12" s="17"/>
    </x:row>
    <x:row r="13" ht="26.75" customHeight="1">
      <x:c r="A13" s="16" t="s">
        <x:v>275</x:v>
      </x:c>
      <x:c r="B13" s="16" t="s">
        <x:v>860</x:v>
      </x:c>
      <x:c r="C13" s="17"/>
    </x:row>
    <x:row r="14" ht="26.75" customHeight="1">
      <x:c r="A14" s="16" t="s">
        <x:v>868</x:v>
      </x:c>
      <x:c r="B14" s="16" t="s">
        <x:v>869</x:v>
      </x:c>
      <x:c r="C14" s="17"/>
    </x:row>
    <x:row r="15" ht="26.75" customHeight="1">
      <x:c r="A15" s="16" t="s">
        <x:v>870</x:v>
      </x:c>
      <x:c r="B15" s="16" t="s">
        <x:v>871</x:v>
      </x:c>
      <x:c r="C15" s="17"/>
    </x:row>
    <x:row r="16" ht="26.75" customHeight="1">
      <x:c r="A16" s="16" t="s">
        <x:v>4</x:v>
      </x:c>
      <x:c r="B16" s="16" t="s">
        <x:v>872</x:v>
      </x:c>
      <x:c r="C16" s="17"/>
    </x:row>
    <x:row r="17" ht="26.75" customHeight="1">
      <x:c r="A17" s="16" t="s">
        <x:v>174</x:v>
      </x:c>
      <x:c r="B17" s="16" t="s">
        <x:v>872</x:v>
      </x:c>
      <x:c r="C17" s="17"/>
    </x:row>
    <x:row r="18" ht="26.75" customHeight="1">
      <x:c r="A18" s="16" t="s">
        <x:v>373</x:v>
      </x:c>
      <x:c r="B18" s="16" t="s">
        <x:v>867</x:v>
      </x:c>
      <x:c r="C18" s="17"/>
    </x:row>
    <x:row r="19" ht="26.75" customHeight="1">
      <x:c r="A19" s="16" t="s">
        <x:v>234</x:v>
      </x:c>
      <x:c r="B19" s="16" t="s">
        <x:v>859</x:v>
      </x:c>
      <x:c r="C19" s="17"/>
    </x:row>
    <x:row r="20" ht="26.75" customHeight="1">
      <x:c r="A20" s="16" t="s">
        <x:v>526</x:v>
      </x:c>
      <x:c r="B20" s="16" t="s">
        <x:v>871</x:v>
      </x:c>
      <x:c r="C20" s="17"/>
    </x:row>
    <x:row r="21" ht="26.75" customHeight="1">
      <x:c r="A21" s="16" t="s">
        <x:v>873</x:v>
      </x:c>
      <x:c r="B21" s="16" t="s">
        <x:v>871</x:v>
      </x:c>
      <x:c r="C21" s="17"/>
    </x:row>
    <x:row r="22" ht="26.75" customHeight="1">
      <x:c r="A22" s="16" t="s">
        <x:v>29</x:v>
      </x:c>
      <x:c r="B22" s="16" t="s">
        <x:v>871</x:v>
      </x:c>
      <x:c r="C22" s="17"/>
    </x:row>
    <x:row r="23" ht="26.75" customHeight="1">
      <x:c r="A23" s="16" t="s">
        <x:v>874</x:v>
      </x:c>
      <x:c r="B23" s="16" t="s">
        <x:v>875</x:v>
      </x:c>
      <x:c r="C23" s="17"/>
    </x:row>
    <x:row r="24" ht="26.75" customHeight="1">
      <x:c r="A24" s="16" t="s">
        <x:v>876</x:v>
      </x:c>
      <x:c r="B24" s="16" t="s">
        <x:v>859</x:v>
      </x:c>
      <x:c r="C24" s="17"/>
    </x:row>
    <x:row r="25" ht="26.75" customHeight="1">
      <x:c r="A25" s="16" t="s">
        <x:v>296</x:v>
      </x:c>
      <x:c r="B25" s="16" t="s">
        <x:v>860</x:v>
      </x:c>
      <x:c r="C25" s="17"/>
    </x:row>
    <x:row r="26" ht="26.75" customHeight="1">
      <x:c r="A26" s="16" t="s">
        <x:v>431</x:v>
      </x:c>
      <x:c r="B26" s="16" t="s">
        <x:v>860</x:v>
      </x:c>
      <x:c r="C26" s="17"/>
    </x:row>
    <x:row r="27" ht="26.75" customHeight="1">
      <x:c r="A27" s="16" t="s">
        <x:v>519</x:v>
      </x:c>
      <x:c r="B27" s="16" t="s">
        <x:v>863</x:v>
      </x:c>
      <x:c r="C27" s="17" t="s">
        <x:v>877</x:v>
      </x:c>
    </x:row>
    <x:row r="28" ht="26.75" customHeight="1">
      <x:c r="A28" s="16" t="s">
        <x:v>878</x:v>
      </x:c>
      <x:c r="B28" s="16" t="s">
        <x:v>875</x:v>
      </x:c>
      <x:c r="C28" s="17"/>
    </x:row>
    <x:row r="29" ht="26.75" customHeight="1">
      <x:c r="A29" s="16" t="s">
        <x:v>54</x:v>
      </x:c>
      <x:c r="B29" s="16" t="s">
        <x:v>875</x:v>
      </x:c>
      <x:c r="C29" s="17"/>
    </x:row>
    <x:row r="30" ht="26.75" customHeight="1">
      <x:c r="A30" s="16" t="s">
        <x:v>167</x:v>
      </x:c>
      <x:c r="B30" s="16" t="s">
        <x:v>875</x:v>
      </x:c>
      <x:c r="C30" s="17"/>
    </x:row>
    <x:row r="31" ht="26.75" customHeight="1">
      <x:c r="A31" s="16" t="s">
        <x:v>118</x:v>
      </x:c>
      <x:c r="B31" s="16" t="s">
        <x:v>872</x:v>
      </x:c>
      <x:c r="C31" s="17"/>
    </x:row>
    <x:row r="32" ht="26.75" customHeight="1">
      <x:c r="A32" s="16" t="s">
        <x:v>514</x:v>
      </x:c>
      <x:c r="B32" s="16" t="s">
        <x:v>867</x:v>
      </x:c>
      <x:c r="C32" s="17"/>
    </x:row>
    <x:row r="33" ht="26.75" customHeight="1">
      <x:c r="A33" s="16" t="s">
        <x:v>879</x:v>
      </x:c>
      <x:c r="B33" s="16" t="s">
        <x:v>867</x:v>
      </x:c>
      <x:c r="C33" s="17"/>
    </x:row>
    <x:row r="34" ht="26.75" customHeight="1">
      <x:c r="A34" s="16" t="s">
        <x:v>289</x:v>
      </x:c>
      <x:c r="B34" s="16" t="s">
        <x:v>861</x:v>
      </x:c>
      <x:c r="C34" s="17"/>
    </x:row>
    <x:row r="35" ht="26.75" customHeight="1">
      <x:c r="A35" s="16" t="s">
        <x:v>470</x:v>
      </x:c>
      <x:c r="B35" s="16" t="s">
        <x:v>860</x:v>
      </x:c>
      <x:c r="C35" s="17"/>
    </x:row>
    <x:row r="36" ht="26.75" customHeight="1">
      <x:c r="A36" s="16" t="s">
        <x:v>242</x:v>
      </x:c>
      <x:c r="B36" s="16" t="s">
        <x:v>863</x:v>
      </x:c>
      <x:c r="C36" s="17" t="s">
        <x:v>864</x:v>
      </x:c>
    </x:row>
    <x:row r="37" ht="26.75" customHeight="1">
      <x:c r="A37" s="16" t="s">
        <x:v>880</x:v>
      </x:c>
      <x:c r="B37" s="16" t="s">
        <x:v>872</x:v>
      </x:c>
      <x:c r="C37" s="17"/>
    </x:row>
    <x:row r="38" ht="26.75" customHeight="1">
      <x:c r="A38" s="16" t="s">
        <x:v>154</x:v>
      </x:c>
      <x:c r="B38" s="16" t="s">
        <x:v>869</x:v>
      </x:c>
      <x:c r="C38" s="17"/>
    </x:row>
    <x:row r="39" ht="26.75" customHeight="1">
      <x:c r="A39" s="16" t="s">
        <x:v>215</x:v>
      </x:c>
      <x:c r="B39" s="16" t="s">
        <x:v>867</x:v>
      </x:c>
      <x:c r="C39" s="17" t="s">
        <x:v>881</x:v>
      </x:c>
    </x:row>
    <x:row r="40" ht="26.75" customHeight="1">
      <x:c r="A40" s="16" t="s">
        <x:v>412</x:v>
      </x:c>
      <x:c r="B40" s="16" t="s">
        <x:v>867</x:v>
      </x:c>
      <x:c r="C40" s="17"/>
    </x:row>
    <x:row r="41" ht="26.75" customHeight="1">
      <x:c r="A41" s="16" t="s">
        <x:v>882</x:v>
      </x:c>
      <x:c r="B41" s="16" t="s">
        <x:v>867</x:v>
      </x:c>
      <x:c r="C41" s="17"/>
    </x:row>
    <x:row r="42" ht="26.75" customHeight="1">
      <x:c r="A42" s="16" t="s">
        <x:v>883</x:v>
      </x:c>
      <x:c r="B42" s="16" t="s">
        <x:v>871</x:v>
      </x:c>
      <x:c r="C42" s="17"/>
    </x:row>
    <x:row r="43" ht="26.75" customHeight="1">
      <x:c r="A43" s="16" t="s">
        <x:v>200</x:v>
      </x:c>
      <x:c r="B43" s="16" t="s">
        <x:v>863</x:v>
      </x:c>
      <x:c r="C43" s="17" t="s">
        <x:v>864</x:v>
      </x:c>
    </x:row>
    <x:row r="44" ht="26.75" customHeight="1">
      <x:c r="A44" s="16" t="s">
        <x:v>159</x:v>
      </x:c>
      <x:c r="B44" s="16" t="s">
        <x:v>869</x:v>
      </x:c>
      <x:c r="C44" s="17"/>
    </x:row>
    <x:row r="45" ht="26.75" customHeight="1">
      <x:c r="A45" s="16" t="s">
        <x:v>139</x:v>
      </x:c>
      <x:c r="B45" s="16" t="s">
        <x:v>869</x:v>
      </x:c>
      <x:c r="C45" s="17"/>
    </x:row>
    <x:row r="46" ht="26.75" customHeight="1">
      <x:c r="A46" s="16" t="s">
        <x:v>884</x:v>
      </x:c>
      <x:c r="B46" s="16" t="s">
        <x:v>869</x:v>
      </x:c>
      <x:c r="C46" s="17"/>
    </x:row>
    <x:row r="47" ht="26.75" customHeight="1">
      <x:c r="A47" s="16" t="s">
        <x:v>133</x:v>
      </x:c>
      <x:c r="B47" s="16" t="s">
        <x:v>862</x:v>
      </x:c>
      <x:c r="C47" s="17"/>
    </x:row>
    <x:row r="48" ht="26.75" customHeight="1">
      <x:c r="A48" s="16" t="s">
        <x:v>885</x:v>
      </x:c>
      <x:c r="B48" s="16" t="s">
        <x:v>863</x:v>
      </x:c>
      <x:c r="C48" s="17" t="s">
        <x:v>886</x:v>
      </x:c>
    </x:row>
    <x:row r="49" ht="26.75" customHeight="1">
      <x:c r="A49" s="16" t="s">
        <x:v>259</x:v>
      </x:c>
      <x:c r="B49" s="16" t="s">
        <x:v>862</x:v>
      </x:c>
      <x:c r="C49" s="17"/>
    </x:row>
    <x:row r="50" ht="26.75" customHeight="1">
      <x:c r="A50" s="16" t="s">
        <x:v>188</x:v>
      </x:c>
      <x:c r="B50" s="16" t="s">
        <x:v>869</x:v>
      </x:c>
      <x:c r="C50" s="17"/>
    </x:row>
    <x:row r="51" ht="26.75" customHeight="1">
      <x:c r="A51" s="16" t="s">
        <x:v>887</x:v>
      </x:c>
      <x:c r="B51" s="16" t="s">
        <x:v>869</x:v>
      </x:c>
      <x:c r="C51" s="17"/>
    </x:row>
    <x:row r="52" ht="26.75" customHeight="1">
      <x:c r="A52" s="16" t="s">
        <x:v>208</x:v>
      </x:c>
      <x:c r="B52" s="16" t="s">
        <x:v>875</x:v>
      </x:c>
      <x:c r="C52" s="17"/>
    </x:row>
    <x:row r="53">
      <x:c r="A53" t="s">
        <x:v>536</x:v>
      </x:c>
      <x:c r="B53" t="s">
        <x:v>349</x:v>
      </x:c>
      <x:c r="C53" t="s">
        <x:v>888</x:v>
      </x:c>
    </x:row>
    <x:row r="54">
      <x:c r="A54" t="s">
        <x:v>545</x:v>
      </x:c>
      <x:c r="B54" t="s">
        <x:v>863</x:v>
      </x:c>
    </x:row>
    <x:row r="55">
      <x:c r="A55" t="s">
        <x:v>552</x:v>
      </x:c>
      <x:c r="B55" t="s">
        <x:v>861</x:v>
      </x:c>
      <x:c r="C55" t="s">
        <x:v>889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  <x:row r="59">
      <x:c r="A59" t="str">
        <x:v>Agentic Payments</x:v>
      </x:c>
      <x:c r="B59" t="str">
        <x:v>Finance &amp; Commerce</x:v>
      </x:c>
      <x:c r="C59"/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5" hidden="0" customWidth="1"/>
    <x:col min="3" max="3" width="18" hidden="0" customWidth="1"/>
    <x:col min="4" max="4" width="18" hidden="0" customWidth="1"/>
    <x:col min="5" max="5" width="34" hidden="0" customWidth="1"/>
    <x:col min="6" max="6" width="5" hidden="0" customWidth="1"/>
    <x:col min="7" max="7" width="5" hidden="0" customWidth="1"/>
    <x:col min="8" max="8" width="35" hidden="0" customWidth="1"/>
    <x:col min="9" max="9" width="23" hidden="0" customWidth="1"/>
    <x:col min="10" max="10" width="14" hidden="0" customWidth="1"/>
    <x:col min="11" max="11" width="16" hidden="0" customWidth="1"/>
    <x:col min="12" max="12" width="12" hidden="0" customWidth="1"/>
  </x:cols>
  <x:sheetData>
    <x:row r="1" ht="32" customHeight="1">
      <x:c r="A1" s="501" t="str">
        <x:v>Prize Money &amp; Rewards</x:v>
      </x:c>
      <x:c r="B1" s="502"/>
      <x:c r="C1" s="502"/>
      <x:c r="D1" s="502"/>
      <x:c r="E1" s="502"/>
      <x:c r="F1" s="502"/>
      <x:c r="G1" s="502"/>
      <x:c r="H1" s="502"/>
      <x:c r="I1" s="502"/>
      <x:c r="J1" s="502"/>
      <x:c r="K1" s="502"/>
      <x:c r="L1" s="502"/>
    </x:row>
    <x:row r="2" ht="24" customHeight="1">
      <x:c r="A2" s="503" t="str">
        <x:v>Live summary from the structured award fields on the Hackathons tab. Values refresh when you update the highlighted classification columns there.</x:v>
      </x:c>
      <x:c r="B2" s="504"/>
      <x:c r="C2" s="504"/>
      <x:c r="D2" s="504"/>
      <x:c r="E2" s="504"/>
      <x:c r="F2" s="504"/>
      <x:c r="G2" s="504"/>
      <x:c r="H2" s="504"/>
      <x:c r="I2" s="504"/>
      <x:c r="J2" s="504"/>
      <x:c r="K2" s="504"/>
      <x:c r="L2" s="504"/>
    </x:row>
    <x:row r="4">
      <x:c r="A4" s="505" t="str">
        <x:v>Cash-equivalent prizes</x:v>
      </x:c>
      <x:c r="B4" s="505"/>
      <x:c r="C4" s="505"/>
      <x:c r="D4" s="505"/>
      <x:c r="E4" s="505"/>
      <x:c r="F4" s="505"/>
      <x:c r="H4" s="505" t="str">
        <x:v>Credits and subscriptions</x:v>
      </x:c>
      <x:c r="I4" s="505"/>
      <x:c r="J4" s="505"/>
      <x:c r="K4" s="505"/>
      <x:c r="L4" s="505"/>
    </x:row>
    <x:row r="5" ht="22" customHeight="1">
      <x:c r="A5" s="506" t="str">
        <x:v>SGD cash + vouchers</x:v>
      </x:c>
      <x:c r="B5" s="506"/>
      <x:c r="C5" s="507" t="n">
        <x:f>SUMIFS('Prize Details'!$H$5:$H$28,'Prize Details'!$I$5:$I$28,"SGD",'Prize Details'!$X$5:$X$28,"Yes")</x:f>
        <x:v>2850</x:v>
      </x:c>
      <x:c r="D5" s="69"/>
      <x:c r="H5" s="506" t="str">
        <x:v>USD credits</x:v>
      </x:c>
      <x:c r="I5" s="506"/>
      <x:c r="J5" s="508" t="n">
        <x:f>SUMIFS('Prize Details'!$K$5:$K$28,'Prize Details'!$L$5:$L$28,"USD")</x:f>
        <x:v>131400</x:v>
      </x:c>
      <x:c r="K5" s="507"/>
    </x:row>
    <x:row r="6" ht="22" customHeight="1">
      <x:c r="A6" s="506" t="str">
        <x:v>USD cash + vouchers</x:v>
      </x:c>
      <x:c r="B6" s="506"/>
      <x:c r="C6" s="507" t="n">
        <x:f>SUMIFS('Prize Details'!$H$5:$H$28,'Prize Details'!$I$5:$I$28,"USD",'Prize Details'!$X$5:$X$28,"Yes")</x:f>
        <x:v>0</x:v>
      </x:c>
      <x:c r="D6" s="69"/>
      <x:c r="H6" s="506" t="str">
        <x:v>SGD credits</x:v>
      </x:c>
      <x:c r="I6" s="506"/>
      <x:c r="J6" s="508" t="n">
        <x:f>SUMIFS('Prize Details'!$K$5:$K$28,'Prize Details'!$L$5:$L$28,"SGD")</x:f>
        <x:v>385</x:v>
      </x:c>
      <x:c r="K6" s="507"/>
    </x:row>
    <x:row r="7" ht="22" customHeight="1">
      <x:c r="A7" s="506" t="str">
        <x:v>Confirmed prize records</x:v>
      </x:c>
      <x:c r="B7" s="506"/>
      <x:c r="C7" s="507" t="n">
        <x:f>COUNTIFS('Prize Details'!$H$5:$H$28,"&gt;0",'Prize Details'!$X$5:$X$28,"Yes")</x:f>
        <x:v>6</x:v>
      </x:c>
      <x:c r="D7" s="70"/>
      <x:c r="H7" s="506" t="str">
        <x:v>Subscription value (USD)</x:v>
      </x:c>
      <x:c r="I7" s="506"/>
      <x:c r="J7" s="508" t="n">
        <x:f>SUMIFS('Prize Details'!$O$5:$O$28,'Prize Details'!$P$5:$P$28,"USD")</x:f>
        <x:v>156</x:v>
      </x:c>
      <x:c r="K7" s="507"/>
    </x:row>
    <x:row r="8" ht="22" customHeight="1">
      <x:c r="A8" s="510" t="str">
        <x:v>Includes vouchers you chose to treat as cash-equivalent. Funding is shown separately and included in the all-tracked totals below.</x:v>
      </x:c>
      <x:c r="B8" s="510"/>
      <x:c r="C8" s="510"/>
      <x:c r="D8" s="510"/>
      <x:c r="E8" s="510"/>
      <x:c r="F8" s="510"/>
      <x:c r="H8" s="506" t="str">
        <x:v>Subscriptions collected</x:v>
      </x:c>
      <x:c r="I8" s="506"/>
      <x:c r="J8" s="509" t="n">
        <x:f>SUM('Prize Details'!$N$5:$N$28)</x:f>
        <x:v>4</x:v>
      </x:c>
      <x:c r="K8" s="507"/>
    </x:row>
    <x:row r="10" ht="24" customHeight="1">
      <x:c r="A10" s="511" t="str">
        <x:v>Breakdown by currency</x:v>
      </x:c>
      <x:c r="B10" s="511"/>
      <x:c r="C10" s="511"/>
      <x:c r="D10" s="511"/>
      <x:c r="E10" s="511"/>
      <x:c r="F10" s="52"/>
      <x:c r="G10" s="52"/>
      <x:c r="H10" s="52"/>
      <x:c r="I10" s="52"/>
      <x:c r="J10" s="52"/>
      <x:c r="K10" s="52"/>
      <x:c r="L10" s="52"/>
    </x:row>
    <x:row r="11" ht="24" customHeight="1">
      <x:c r="A11" s="499" t="str">
        <x:v>Category</x:v>
      </x:c>
      <x:c r="B11" s="499" t="str">
        <x:v>Currency</x:v>
      </x:c>
      <x:c r="C11" s="499" t="str">
        <x:v>Team total</x:v>
      </x:c>
      <x:c r="D11" s="499" t="str">
        <x:v>Individual total</x:v>
      </x:c>
      <x:c r="E11" s="492" t="str">
        <x:v>How it is calculated</x:v>
      </x:c>
      <x:c r="H11" s="505" t="str">
        <x:v>Assets Collected</x:v>
      </x:c>
      <x:c r="I11" s="505"/>
      <x:c r="J11" s="505"/>
      <x:c r="K11" s="505"/>
      <x:c r="L11" s="505"/>
    </x:row>
    <x:row r="12" ht="24" customHeight="1">
      <x:c r="A12" s="402" t="str">
        <x:v>Cash-equivalent prizes</x:v>
      </x:c>
      <x:c r="B12" s="402" t="str">
        <x:v>SGD</x:v>
      </x:c>
      <x:c r="C12" s="500" t="n">
        <x:f>SUMIFS('Prize Details'!$H$5:$H$28,'Prize Details'!$I$5:$I$28,B12,'Prize Details'!$X$5:$X$28,"Yes")</x:f>
        <x:v>2850</x:v>
      </x:c>
      <x:c r="D12" s="500" t="n">
        <x:f>SUMIFS('Prize Details'!$J$5:$J$28,'Prize Details'!$I$5:$I$28,B12,'Prize Details'!$X$5:$X$28,"Yes")</x:f>
        <x:v>1058.3333333333333</x:v>
      </x:c>
      <x:c r="E12" s="407" t="str">
        <x:v>Cash and vouchers marked Yes</x:v>
      </x:c>
      <x:c r="H12" s="506" t="str">
        <x:v>Recorded asset entries</x:v>
      </x:c>
      <x:c r="I12" s="506"/>
      <x:c r="J12" s="512" t="n">
        <x:f>COUNTIFS(Hackathons!$AA$2:$AA$83,"&lt;&gt;")</x:f>
        <x:v>4</x:v>
      </x:c>
      <x:c r="K12" s="514"/>
      <x:c r="L12" s="271"/>
    </x:row>
    <x:row r="13" ht="24" customHeight="1">
      <x:c r="A13" s="402" t="str">
        <x:v>Cash-equivalent prizes</x:v>
      </x:c>
      <x:c r="B13" s="402" t="str">
        <x:v>USD</x:v>
      </x:c>
      <x:c r="C13" s="500" t="n">
        <x:f>SUMIFS('Prize Details'!$H$5:$H$28,'Prize Details'!$I$5:$I$28,B13,'Prize Details'!$X$5:$X$28,"Yes")</x:f>
        <x:v>0</x:v>
      </x:c>
      <x:c r="D13" s="500" t="n">
        <x:f>SUMIFS('Prize Details'!$J$5:$J$28,'Prize Details'!$I$5:$I$28,B13,'Prize Details'!$X$5:$X$28,"Yes")</x:f>
        <x:v>0</x:v>
      </x:c>
      <x:c r="E13" s="407" t="str">
        <x:v>Cash and vouchers marked Yes</x:v>
      </x:c>
      <x:c r="H13" s="506" t="str">
        <x:v>Trophies collected</x:v>
      </x:c>
      <x:c r="I13" s="506"/>
      <x:c r="J13" s="512" t="n">
        <x:f>SUM(Hackathons!$AB$2:$AB$83)</x:f>
        <x:v>2</x:v>
      </x:c>
      <x:c r="K13" s="514"/>
      <x:c r="L13" s="271"/>
    </x:row>
    <x:row r="14" ht="24" customHeight="1">
      <x:c r="A14" s="402" t="str">
        <x:v>Credits</x:v>
      </x:c>
      <x:c r="B14" s="402" t="str">
        <x:v>USD</x:v>
      </x:c>
      <x:c r="C14" s="500" t="n">
        <x:f>SUMIFS('Prize Details'!$K$5:$K$28,'Prize Details'!$L$5:$L$28,B14)</x:f>
        <x:v>131400</x:v>
      </x:c>
      <x:c r="D14" s="500" t="n">
        <x:f>SUMIFS('Prize Details'!$M$5:$M$28,'Prize Details'!$L$5:$L$28,B14)</x:f>
        <x:v>41558.333333333336</x:v>
      </x:c>
      <x:c r="E14" s="407" t="str">
        <x:v>Non-cash product / API credits</x:v>
      </x:c>
      <x:c r="H14" s="499" t="str">
        <x:v>Hackathon</x:v>
      </x:c>
      <x:c r="I14" s="499" t="str">
        <x:v>Item</x:v>
      </x:c>
      <x:c r="J14" s="499" t="str">
        <x:v>Trophies</x:v>
      </x:c>
      <x:c r="K14"/>
      <x:c r="L14"/>
    </x:row>
    <x:row r="15" ht="31" customHeight="1">
      <x:c r="A15" s="402" t="str">
        <x:v>Credits</x:v>
      </x:c>
      <x:c r="B15" s="402" t="str">
        <x:v>SGD</x:v>
      </x:c>
      <x:c r="C15" s="500" t="n">
        <x:f>SUMIFS('Prize Details'!$K$5:$K$28,'Prize Details'!$L$5:$L$28,B15)</x:f>
        <x:v>385</x:v>
      </x:c>
      <x:c r="D15" s="500" t="n">
        <x:f>SUMIFS('Prize Details'!$M$5:$M$28,'Prize Details'!$L$5:$L$28,B15)</x:f>
        <x:v>385</x:v>
      </x:c>
      <x:c r="E15" s="407" t="str">
        <x:v>Non-cash product / API credits</x:v>
      </x:c>
      <x:c r="H15" s="515" t="str">
        <x:f>Hackathons!B5</x:f>
        <x:v>Fintech Festival Hackathon 2016</x:v>
      </x:c>
      <x:c r="I15" s="515" t="str">
        <x:f>Hackathons!AA5</x:f>
        <x:v>SmartWatch</x:v>
      </x:c>
      <x:c r="J15" s="516" t="str">
        <x:f>IF(Hackathons!AB5="","",Hackathons!AB5)</x:f>
      </x:c>
      <x:c r="K15"/>
      <x:c r="L15"/>
    </x:row>
    <x:row r="16" ht="31" customHeight="1">
      <x:c r="A16" s="402" t="str">
        <x:v>Subscriptions</x:v>
      </x:c>
      <x:c r="B16" s="402" t="str">
        <x:v>USD</x:v>
      </x:c>
      <x:c r="C16" s="500" t="n">
        <x:f>SUMIFS('Prize Details'!$O$5:$O$28,'Prize Details'!$P$5:$P$28,B16)</x:f>
        <x:v>156</x:v>
      </x:c>
      <x:c r="D16" s="500" t="n">
        <x:f>SUMIFS('Prize Details'!$Q$5:$Q$28,'Prize Details'!$P$5:$P$28,B16)</x:f>
        <x:v>39</x:v>
      </x:c>
      <x:c r="E16" s="407" t="str">
        <x:v>Known subscription value</x:v>
      </x:c>
      <x:c r="H16" s="515" t="str">
        <x:f>Hackathons!B41</x:f>
        <x:v>Sarawak AI Hackathon 2025</x:v>
      </x:c>
      <x:c r="I16" s="515" t="str">
        <x:f>Hackathons!AA41</x:f>
        <x:v>Trophy</x:v>
      </x:c>
      <x:c r="J16" s="516" t="n">
        <x:f>IF(Hackathons!AB41="","",Hackathons!AB41)</x:f>
        <x:v>1</x:v>
      </x:c>
      <x:c r="K16"/>
      <x:c r="L16"/>
    </x:row>
    <x:row r="17" ht="31" customHeight="1">
      <x:c r="A17" s="402" t="str">
        <x:v>Funding</x:v>
      </x:c>
      <x:c r="B17" s="402" t="str">
        <x:v>SGD</x:v>
      </x:c>
      <x:c r="C17" s="500" t="n">
        <x:f>SUMIFS('Prize Details'!$R$5:$R$28,'Prize Details'!$S$5:$S$28,B17)</x:f>
        <x:v>18000</x:v>
      </x:c>
      <x:c r="D17" s="500" t="n">
        <x:f>SUMIFS('Prize Details'!$T$5:$T$28,'Prize Details'!$S$5:$S$28,B17)</x:f>
        <x:v>3600</x:v>
      </x:c>
      <x:c r="E17" s="407" t="str">
        <x:v>Seed funding / grants</x:v>
      </x:c>
      <x:c r="H17" s="515" t="str">
        <x:f>Hackathons!B62</x:f>
        <x:v>Vercel Zero to Agent: Singapore (1 Hr Hackathon) 2026</x:v>
      </x:c>
      <x:c r="I17" s="515" t="str">
        <x:f>Hackathons!AA62</x:f>
        <x:v>v0 Sock</x:v>
      </x:c>
      <x:c r="J17" s="516" t="str">
        <x:f>IF(Hackathons!AB62="","",Hackathons!AB62)</x:f>
      </x:c>
      <x:c r="K17"/>
      <x:c r="L17"/>
    </x:row>
    <x:row r="18" ht="31" customHeight="1">
      <x:c r="A18"/>
      <x:c r="B18"/>
      <x:c r="C18"/>
      <x:c r="D18"/>
      <x:c r="E18" s="54"/>
      <x:c r="F18" s="54"/>
      <x:c r="G18" s="54"/>
      <x:c r="H18" s="515" t="str">
        <x:f>Hackathons!B80</x:f>
        <x:v>SG × SWK Friendship AI Business Design Hackathon</x:v>
      </x:c>
      <x:c r="I18" s="515" t="str">
        <x:f>Hackathons!AA80</x:f>
        <x:v>Trophy</x:v>
      </x:c>
      <x:c r="J18" s="516" t="n">
        <x:f>IF(Hackathons!AB80="","",Hackathons!AB80)</x:f>
        <x:v>1</x:v>
      </x:c>
      <x:c r="K18"/>
      <x:c r="L18"/>
    </x:row>
    <x:row r="19" ht="22" customHeight="1">
      <x:c r="A19"/>
      <x:c r="H19" s="284" t="str">
        <x:v>Assets remain outside monetary totals until a value is recorded.</x:v>
      </x:c>
      <x:c r="I19" s="284"/>
      <x:c r="J19" s="284"/>
      <x:c r="K19" s="284"/>
      <x:c r="L19" s="284"/>
    </x:row>
    <x:row r="20" ht="22" customHeight="1">
      <x:c r="A20" s="517" t="str">
        <x:v>All tracked monetary value</x:v>
      </x:c>
      <x:c r="B20" s="517" t="str">
        <x:v>Currency</x:v>
      </x:c>
      <x:c r="C20" s="517" t="str">
        <x:v>Amount</x:v>
      </x:c>
      <x:c r="D20" s="517" t="str">
        <x:v>Includes</x:v>
      </x:c>
      <x:c r="E20" s="518"/>
      <x:c r="F20"/>
      <x:c r="G20"/>
      <x:c r="H20" s="518" t="str">
        <x:v>Individual Total (Your Share)</x:v>
      </x:c>
      <x:c r="I20" s="518"/>
      <x:c r="J20" s="518"/>
      <x:c r="K20" s="518"/>
      <x:c r="L20" s="518"/>
    </x:row>
    <x:row r="21" ht="24" customHeight="1">
      <x:c r="A21" s="519" t="str">
        <x:v>All prize value</x:v>
      </x:c>
      <x:c r="B21" s="519" t="str">
        <x:v>SGD</x:v>
      </x:c>
      <x:c r="C21" s="507" t="n">
        <x:f>SUMIFS('Prize Details'!$H$5:$H$28,'Prize Details'!$I$5:$I$28,B21,'Prize Details'!$X$5:$X$28,"Yes")+SUMIFS('Prize Details'!$K$5:$K$28,'Prize Details'!$L$5:$L$28,B21)+SUMIFS('Prize Details'!$O$5:$O$28,'Prize Details'!$P$5:$P$28,B21)+SUMIFS('Prize Details'!$R$5:$R$28,'Prize Details'!$S$5:$S$28,B21)</x:f>
        <x:v>21235</x:v>
      </x:c>
      <x:c r="D21" s="519" t="str">
        <x:v>Cash, credits, subscriptions, funding</x:v>
      </x:c>
      <x:c r="E21" s="519"/>
      <x:c r="F21"/>
      <x:c r="H21" s="506" t="str">
        <x:v>Individual tracked value</x:v>
      </x:c>
      <x:c r="I21" s="506"/>
      <x:c r="J21" s="506" t="str">
        <x:v>SGD</x:v>
      </x:c>
      <x:c r="K21" s="507" t="n">
        <x:f>SUMIFS('Prize Details'!$J$5:$J$28,'Prize Details'!$I$5:$I$28,J21)+SUMIFS('Prize Details'!$M$5:$M$28,'Prize Details'!$L$5:$L$28,J21)+SUMIFS('Prize Details'!$Q$5:$Q$28,'Prize Details'!$P$5:$P$28,J21)+SUMIFS('Prize Details'!$T$5:$T$28,'Prize Details'!$S$5:$S$28,J21)</x:f>
        <x:v>5043.333333333333</x:v>
      </x:c>
      <x:c r="L21" s="332"/>
    </x:row>
    <x:row r="22" ht="24" customHeight="1">
      <x:c r="A22" s="519" t="str">
        <x:v>All prize value</x:v>
      </x:c>
      <x:c r="B22" s="519" t="str">
        <x:v>USD</x:v>
      </x:c>
      <x:c r="C22" s="507" t="n">
        <x:f>SUMIFS('Prize Details'!$H$5:$H$28,'Prize Details'!$I$5:$I$28,B22,'Prize Details'!$X$5:$X$28,"Yes")+SUMIFS('Prize Details'!$K$5:$K$28,'Prize Details'!$L$5:$L$28,B22)+SUMIFS('Prize Details'!$O$5:$O$28,'Prize Details'!$P$5:$P$28,B22)+SUMIFS('Prize Details'!$R$5:$R$28,'Prize Details'!$S$5:$S$28,B22)</x:f>
        <x:v>131556</x:v>
      </x:c>
      <x:c r="D22" s="519" t="str">
        <x:v>Cash, credits, subscriptions, funding</x:v>
      </x:c>
      <x:c r="E22" s="519"/>
      <x:c r="H22" s="506"/>
      <x:c r="I22" s="506"/>
      <x:c r="J22" s="506" t="str">
        <x:v>USD</x:v>
      </x:c>
      <x:c r="K22" s="507" t="n">
        <x:f>SUMIFS('Prize Details'!$J$5:$J$28,'Prize Details'!$I$5:$I$28,J22)+SUMIFS('Prize Details'!$M$5:$M$28,'Prize Details'!$L$5:$L$28,J22)+SUMIFS('Prize Details'!$Q$5:$Q$28,'Prize Details'!$P$5:$P$28,J22)+SUMIFS('Prize Details'!$T$5:$T$28,'Prize Details'!$S$5:$S$28,J22)</x:f>
        <x:v>41597.333333333336</x:v>
      </x:c>
      <x:c r="L22" s="332"/>
    </x:row>
    <x:row r="23" ht="25" customHeight="1">
      <x:c r="A23" s="510" t="str">
        <x:v>This combines money-like prizes, credits, subscriptions, and funding in the same currency. Trophies and physical assets are excluded because they have no recorded monetary value.</x:v>
      </x:c>
      <x:c r="B23" s="520"/>
      <x:c r="C23" s="520"/>
      <x:c r="D23" s="520"/>
      <x:c r="E23" s="520"/>
      <x:c r="F23" s="520"/>
      <x:c r="G23" s="520"/>
      <x:c r="H23" s="520"/>
      <x:c r="I23" s="520"/>
      <x:c r="J23" s="520"/>
      <x:c r="K23" s="520"/>
      <x:c r="L23" s="520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 ht="20" customHeight="1">
      <x:c r="A25" s="521" t="str">
        <x:v>Update the yellow structured fields in Hackathons; this dashboard refreshes automatically.</x:v>
      </x:c>
      <x:c r="B25" s="521"/>
      <x:c r="C25" s="521"/>
      <x:c r="D25" s="521"/>
      <x:c r="E25" s="521"/>
      <x:c r="F25" s="521"/>
      <x:c r="G25" s="521"/>
      <x:c r="H25" s="521"/>
      <x:c r="I25" s="521"/>
      <x:c r="J25" s="521"/>
      <x:c r="K25" s="521"/>
      <x:c r="L25" s="521"/>
    </x:row>
    <x:row r="26" ht="42" customHeight="1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30">
      <x:c r="A30"/>
      <x:c r="B30"/>
      <x:c r="C30"/>
      <x:c r="D30"/>
    </x:row>
    <x:row r="31">
      <x:c r="A31"/>
      <x:c r="B31"/>
      <x:c r="C31"/>
      <x:c r="D31"/>
    </x:row>
    <x:row r="32">
      <x:c r="A32"/>
      <x:c r="B32"/>
      <x:c r="C32"/>
      <x:c r="D32"/>
    </x:row>
    <x:row r="33">
      <x:c r="A33"/>
      <x:c r="B33"/>
      <x:c r="C33"/>
      <x:c r="D33"/>
    </x:row>
    <x:row r="34">
      <x:c r="A34"/>
      <x:c r="B34"/>
      <x:c r="C34"/>
      <x:c r="D34"/>
    </x:row>
    <x:row r="35">
      <x:c r="A35"/>
      <x:c r="B35"/>
      <x:c r="C35"/>
      <x:c r="D35"/>
    </x:row>
    <x:row r="36">
      <x:c r="A36"/>
      <x:c r="B36"/>
      <x:c r="C36"/>
      <x:c r="D36"/>
    </x:row>
    <x:row r="37">
      <x:c r="A37"/>
      <x:c r="B37"/>
      <x:c r="C37"/>
      <x:c r="D37"/>
    </x:row>
    <x:row r="38">
      <x:c r="A38"/>
      <x:c r="B38"/>
      <x:c r="C38"/>
      <x:c r="D38"/>
    </x:row>
    <x:row r="39">
      <x:c r="A39"/>
      <x:c r="B39"/>
      <x:c r="C39"/>
      <x:c r="D39"/>
    </x:row>
    <x:row r="41">
      <x:c r="A41"/>
      <x:c r="B41"/>
      <x:c r="C41"/>
      <x:c r="D41"/>
    </x:row>
    <x:row r="42">
      <x:c r="A42"/>
      <x:c r="B42"/>
      <x:c r="C42"/>
      <x:c r="D42"/>
    </x:row>
    <x:row r="43">
      <x:c r="A43"/>
      <x:c r="B43"/>
      <x:c r="C43"/>
      <x:c r="D43"/>
    </x:row>
    <x:row r="45" ht="24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23:L23"/>
    <x:mergeCell ref="A25:L25"/>
    <x:mergeCell ref="A26:L28"/>
    <x:mergeCell ref="H11:L11"/>
    <x:mergeCell ref="H12:I12"/>
    <x:mergeCell ref="J12:L12"/>
    <x:mergeCell ref="H13:I13"/>
    <x:mergeCell ref="J13:L13"/>
    <x:mergeCell ref="H19:L19"/>
    <x:mergeCell ref="H20:L20"/>
    <x:mergeCell ref="H21:I22"/>
    <x:mergeCell ref="K21:L21"/>
    <x:mergeCell ref="K22:L2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52" hidden="0" customWidth="1"/>
    <x:col min="4" max="4" width="20" hidden="0" customWidth="1"/>
    <x:col min="5" max="5" width="30" hidden="0" customWidth="1"/>
    <x:col min="6" max="6" width="18" hidden="0" customWidth="1"/>
    <x:col min="7" max="7" width="20" hidden="0" customWidth="1"/>
    <x:col min="8" max="8" width="16" hidden="0" customWidth="1"/>
    <x:col min="9" max="9" width="14" hidden="0" customWidth="1"/>
    <x:col min="10" max="10" width="18" hidden="0" customWidth="1"/>
    <x:col min="11" max="11" width="16" hidden="0" customWidth="1"/>
    <x:col min="12" max="12" width="20" hidden="0" customWidth="1"/>
    <x:col min="13" max="13" width="18" hidden="0" customWidth="1"/>
    <x:col min="14" max="14" width="18" hidden="0" customWidth="1"/>
    <x:col min="15" max="15" width="20" hidden="0" customWidth="1"/>
    <x:col min="16" max="16" width="18" hidden="0" customWidth="1"/>
    <x:col min="17" max="17" width="22" hidden="0" customWidth="1"/>
    <x:col min="18" max="18" width="16" hidden="0" customWidth="1"/>
    <x:col min="19" max="19" width="18" hidden="0" customWidth="1"/>
    <x:col min="20" max="20" width="18" hidden="0" customWidth="1"/>
    <x:col min="21" max="21" width="32" hidden="0" customWidth="1"/>
    <x:col min="22" max="22" width="20" hidden="0" customWidth="1"/>
    <x:col min="23" max="23" width="14" hidden="0" customWidth="1"/>
    <x:col min="24" max="24" width="16" hidden="0" customWidth="1"/>
    <x:col min="25" max="25" width="32" hidden="0" customWidth="1"/>
  </x:cols>
  <x:sheetData>
    <x:row r="1" ht="32" customHeight="1">
      <x:c r="A1" s="494" t="str">
        <x:v>Prize Details — Team Totals and Individual Share</x:v>
      </x:c>
    </x:row>
    <x:row r="2" ht="28" customHeight="1">
      <x:c r="A2" s="106" t="str">
        <x:v>Team totals reflect the allocation basis. Per Team Member awards multiply the per-person award by the hackathon team count; individual values retain the per-person amount.</x:v>
      </x:c>
    </x:row>
    <x:row r="3">
      <x:c r="A3" s="81" t="str">
        <x:v>Records tracked</x:v>
      </x:c>
      <x:c r="B3" s="81"/>
      <x:c r="C3" s="81"/>
      <x:c r="D3" s="85" t="n">
        <x:f>COUNTA(A5:A28)</x:f>
        <x:v>24</x:v>
      </x:c>
      <x:c r="E3" s="85"/>
      <x:c r="F3" s="109" t="str">
        <x:v>Cash-equivalent total (SGD)</x:v>
      </x:c>
      <x:c r="G3" s="109"/>
      <x:c r="H3" s="109"/>
      <x:c r="I3" s="114" t="n">
        <x:f>SUMIFS(Hackathons!$S$2:$S$83,Hackathons!$T$2:$T$83,"SGD",Hackathons!$AE$2:$AE$83,"Yes")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SUMIFS(Hackathons!$S$2:$S$83,Hackathons!$T$2:$T$83,"USD",Hackathons!$AE$2:$AE$83,"Yes")</x:f>
        <x:v>0</x:v>
      </x:c>
      <x:c r="P3" s="114"/>
    </x:row>
    <x:row r="4" ht="32" customHeight="1">
      <x:c r="A4" s="36" t="str">
        <x:v>#</x:v>
      </x:c>
      <x:c r="B4" s="36" t="str">
        <x:v>Hackathon</x:v>
      </x:c>
      <x:c r="C4" s="36" t="str">
        <x:v>Award Summary</x:v>
      </x:c>
      <x:c r="D4" s="36" t="str">
        <x:v>Award Type</x:v>
      </x:c>
      <x:c r="E4" s="36" t="str">
        <x:v>Additional Info</x:v>
      </x:c>
      <x:c r="F4" s="36" t="str">
        <x:v>Hackathon Team Members</x:v>
      </x:c>
      <x:c r="G4" s="36" t="str">
        <x:v>Prize Allocation</x:v>
      </x:c>
      <x:c r="H4" s="36" t="str">
        <x:v>Team Cash</x:v>
      </x:c>
      <x:c r="I4" s="36" t="str">
        <x:v>Cash Currency</x:v>
      </x:c>
      <x:c r="J4" s="36" t="str">
        <x:v>Individual Cash</x:v>
      </x:c>
      <x:c r="K4" s="36" t="str">
        <x:v>Team Credits</x:v>
      </x:c>
      <x:c r="L4" s="36" t="str">
        <x:v>Credit Currency / Units</x:v>
      </x:c>
      <x:c r="M4" s="36" t="str">
        <x:v>Individual Credits</x:v>
      </x:c>
      <x:c r="N4" s="36" t="str">
        <x:v>Team Subscription Count</x:v>
      </x:c>
      <x:c r="O4" s="36" t="str">
        <x:v>Team Subscription Value</x:v>
      </x:c>
      <x:c r="P4" s="36" t="str">
        <x:v>Subscription Currency</x:v>
      </x:c>
      <x:c r="Q4" s="36" t="str">
        <x:v>Individual Subscription Value</x:v>
      </x:c>
      <x:c r="R4" s="36" t="str">
        <x:v>Team Funding</x:v>
      </x:c>
      <x:c r="S4" s="36" t="str">
        <x:v>Funding Currency</x:v>
      </x:c>
      <x:c r="T4" s="36" t="str">
        <x:v>Individual Funding</x:v>
      </x:c>
      <x:c r="U4" s="36" t="str">
        <x:v>Other Non-cash Prize</x:v>
      </x:c>
      <x:c r="V4" s="36" t="str">
        <x:v>Physical Asset</x:v>
      </x:c>
      <x:c r="W4" s="36" t="str">
        <x:v>Trophy Count</x:v>
      </x:c>
      <x:c r="X4" s="36" t="str">
        <x:v>Money Counted?</x:v>
      </x:c>
      <x:c r="Y4" s="36" t="str">
        <x:v>Review Note</x:v>
      </x:c>
    </x:row>
    <x:row r="5">
      <x:c r="A5" s="36" t="n">
        <x:f>Hackathons!A2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39" t="n">
        <x:f>IF(Hackathons!AH2="","",Hackathons!AH2)</x:f>
        <x:v>5</x:v>
      </x:c>
      <x:c r="G5" s="36" t="str">
        <x:f>IF(Hackathons!AI2="","",Hackathons!AI2)</x:f>
        <x:v>Per Team</x:v>
      </x:c>
      <x:c r="H5" s="40" t="str">
        <x:f>IF(Hackathons!S2="","",IF(G5="Per Team Member",Hackathons!S2*F5,Hackathons!S2))</x:f>
      </x:c>
      <x:c r="I5" s="36" t="str">
        <x:f>IF(Hackathons!T2="","",Hackathons!T2)</x:f>
      </x:c>
      <x:c r="J5" s="498" t="str">
        <x:f>IF(OR(H5="",F5=""),"",H5/F5)</x:f>
      </x:c>
      <x:c r="K5" s="40" t="str">
        <x:f>IF(Hackathons!U2="","",IF(G5="Per Team Member",Hackathons!U2*F5,Hackathons!U2))</x:f>
      </x:c>
      <x:c r="L5" s="36" t="str">
        <x:f>IF(Hackathons!V2="","",Hackathons!V2)</x:f>
      </x:c>
      <x:c r="M5" s="498" t="str">
        <x:f>IF(OR(K5="",F5=""),"",K5/F5)</x:f>
      </x:c>
      <x:c r="N5" s="39" t="str">
        <x:f>IF(Hackathons!W2="","",IF(G5="Per Team Member",Hackathons!W2*F5,Hackathons!W2))</x:f>
      </x:c>
      <x:c r="O5" s="40" t="str">
        <x:f>IF(Hackathons!X2="","",IF(G5="Per Team Member",Hackathons!X2*F5,Hackathons!X2))</x:f>
      </x:c>
      <x:c r="P5" s="36" t="str">
        <x:f>IF(Hackathons!Y2="","",Hackathons!Y2)</x:f>
      </x:c>
      <x:c r="Q5" s="498" t="str">
        <x:f>IF(OR(O5="",F5=""),"",O5/F5)</x:f>
      </x:c>
      <x:c r="R5" s="40" t="n">
        <x:f>IF(Hackathons!AC2="","",IF(G5="Per Team Member",Hackathons!AC2*F5,Hackathons!AC2))</x:f>
        <x:v>18000</x:v>
      </x:c>
      <x:c r="S5" s="36" t="str">
        <x:f>IF(Hackathons!AD2="","",Hackathons!AD2)</x:f>
        <x:v>SGD</x:v>
      </x:c>
      <x:c r="T5" s="498" t="n">
        <x:f>IF(OR(R5="",F5="",F5=0),"",R5/F5)</x:f>
        <x:v>3600</x:v>
      </x:c>
      <x:c r="U5" s="36" t="str">
        <x:f>IF(Hackathons!Z2="","",Hackathons!Z2)</x:f>
      </x:c>
      <x:c r="V5" s="36" t="str">
        <x:f>IF(Hackathons!AA2="","",Hackathons!AA2)</x:f>
      </x:c>
      <x:c r="W5" s="39" t="str">
        <x:f>IF(Hackathons!AB2="","",Hackathons!AB2)</x:f>
      </x:c>
      <x:c r="X5" s="36" t="str">
        <x:f>IF(Hackathons!AE2="","",Hackathons!AE2)</x:f>
        <x:v>Exclude</x:v>
      </x:c>
      <x:c r="Y5" s="36" t="str">
        <x:f>IF(Hackathons!AF2="","",Hackathons!AF2)</x:f>
        <x:v>Funding, not a cash prize</x:v>
      </x:c>
    </x:row>
    <x:row r="6">
      <x:c r="A6" s="36" t="n">
        <x:f>Hackathons!A4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39" t="n">
        <x:f>IF(Hackathons!AH4="","",Hackathons!AH4)</x:f>
        <x:v>6</x:v>
      </x:c>
      <x:c r="G6" s="36" t="str">
        <x:f>IF(Hackathons!AI4="","",Hackathons!AI4)</x:f>
        <x:v>Per Team</x:v>
      </x:c>
      <x:c r="H6" s="40" t="str">
        <x:f>IF(Hackathons!S4="","",IF(G6="Per Team Member",Hackathons!S4*F6,Hackathons!S4))</x:f>
      </x:c>
      <x:c r="I6" s="36" t="str">
        <x:f>IF(Hackathons!T4="","",Hackathons!T4)</x:f>
      </x:c>
      <x:c r="J6" s="498" t="str">
        <x:f>IF(OR(H6="",F6=""),"",H6/F6)</x:f>
      </x:c>
      <x:c r="K6" s="40" t="str">
        <x:f>IF(Hackathons!U4="","",IF(G6="Per Team Member",Hackathons!U4*F6,Hackathons!U4))</x:f>
      </x:c>
      <x:c r="L6" s="36" t="str">
        <x:f>IF(Hackathons!V4="","",Hackathons!V4)</x:f>
      </x:c>
      <x:c r="M6" s="498" t="str">
        <x:f>IF(OR(K6="",F6=""),"",K6/F6)</x:f>
      </x:c>
      <x:c r="N6" s="39" t="str">
        <x:f>IF(Hackathons!W4="","",IF(G6="Per Team Member",Hackathons!W4*F6,Hackathons!W4))</x:f>
      </x:c>
      <x:c r="O6" s="40" t="str">
        <x:f>IF(Hackathons!X4="","",IF(G6="Per Team Member",Hackathons!X4*F6,Hackathons!X4))</x:f>
      </x:c>
      <x:c r="P6" s="36" t="str">
        <x:f>IF(Hackathons!Y4="","",Hackathons!Y4)</x:f>
      </x:c>
      <x:c r="Q6" s="498" t="str">
        <x:f>IF(OR(O6="",F6=""),"",O6/F6)</x:f>
      </x:c>
      <x:c r="R6" s="40" t="str">
        <x:f>IF(Hackathons!AC4="","",IF(G6="Per Team Member",Hackathons!AC4*F6,Hackathons!AC4))</x:f>
      </x:c>
      <x:c r="S6" s="36" t="str">
        <x:f>IF(Hackathons!AD4="","",Hackathons!AD4)</x:f>
      </x:c>
      <x:c r="T6" s="498" t="str">
        <x:f>IF(OR(R6="",F6="",F6=0),"",R6/F6)</x:f>
      </x:c>
      <x:c r="U6" s="36" t="str">
        <x:f>IF(Hackathons!Z4="","",Hackathons!Z4)</x:f>
      </x:c>
      <x:c r="V6" s="36" t="str">
        <x:f>IF(Hackathons!AA4="","",Hackathons!AA4)</x:f>
      </x:c>
      <x:c r="W6" s="39" t="str">
        <x:f>IF(Hackathons!AB4="","",Hackathons!AB4)</x:f>
      </x:c>
      <x:c r="X6" s="36" t="str">
        <x:f>IF(Hackathons!AE4="","",Hackathons!AE4)</x:f>
        <x:v>Exclude</x:v>
      </x:c>
      <x:c r="Y6" s="36" t="str">
        <x:f>IF(Hackathons!AF4="","",Hackathons!AF4)</x:f>
        <x:v>Recognition only</x:v>
      </x:c>
    </x:row>
    <x:row r="7">
      <x:c r="A7" s="36" t="n">
        <x:f>Hackathons!A5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39" t="n">
        <x:f>IF(Hackathons!AH5="","",Hackathons!AH5)</x:f>
        <x:v>4</x:v>
      </x:c>
      <x:c r="G7" s="36" t="str">
        <x:f>IF(Hackathons!AI5="","",Hackathons!AI5)</x:f>
        <x:v>Per Team</x:v>
      </x:c>
      <x:c r="H7" s="40" t="str">
        <x:f>IF(Hackathons!S5="","",IF(G7="Per Team Member",Hackathons!S5*F7,Hackathons!S5))</x:f>
      </x:c>
      <x:c r="I7" s="36" t="str">
        <x:f>IF(Hackathons!T5="","",Hackathons!T5)</x:f>
      </x:c>
      <x:c r="J7" s="498" t="str">
        <x:f>IF(OR(H7="",F7=""),"",H7/F7)</x:f>
      </x:c>
      <x:c r="K7" s="40" t="n">
        <x:f>IF(Hackathons!U5="","",IF(G7="Per Team Member",Hackathons!U5*F7,Hackathons!U5))</x:f>
        <x:v>100000</x:v>
      </x:c>
      <x:c r="L7" s="36" t="str">
        <x:f>IF(Hackathons!V5="","",Hackathons!V5)</x:f>
        <x:v>USD</x:v>
      </x:c>
      <x:c r="M7" s="498" t="n">
        <x:f>IF(OR(K7="",F7=""),"",K7/F7)</x:f>
        <x:v>25000</x:v>
      </x:c>
      <x:c r="N7" s="39" t="str">
        <x:f>IF(Hackathons!W5="","",IF(G7="Per Team Member",Hackathons!W5*F7,Hackathons!W5))</x:f>
      </x:c>
      <x:c r="O7" s="40" t="str">
        <x:f>IF(Hackathons!X5="","",IF(G7="Per Team Member",Hackathons!X5*F7,Hackathons!X5))</x:f>
      </x:c>
      <x:c r="P7" s="36" t="str">
        <x:f>IF(Hackathons!Y5="","",Hackathons!Y5)</x:f>
      </x:c>
      <x:c r="Q7" s="498" t="str">
        <x:f>IF(OR(O7="",F7=""),"",O7/F7)</x:f>
      </x:c>
      <x:c r="R7" s="40" t="str">
        <x:f>IF(Hackathons!AC5="","",IF(G7="Per Team Member",Hackathons!AC5*F7,Hackathons!AC5))</x:f>
      </x:c>
      <x:c r="S7" s="36" t="str">
        <x:f>IF(Hackathons!AD5="","",Hackathons!AD5)</x:f>
      </x:c>
      <x:c r="T7" s="498" t="str">
        <x:f>IF(OR(R7="",F7="",F7=0),"",R7/F7)</x:f>
      </x:c>
      <x:c r="U7" s="36" t="str">
        <x:f>IF(Hackathons!Z5="","",Hackathons!Z5)</x:f>
        <x:v>IBM Bluemix credits; SmartWatch</x:v>
      </x:c>
      <x:c r="V7" s="36" t="str">
        <x:f>IF(Hackathons!AA5="","",Hackathons!AA5)</x:f>
        <x:v>SmartWatch</x:v>
      </x:c>
      <x:c r="W7" s="39" t="str">
        <x:f>IF(Hackathons!AB5="","",Hackathons!AB5)</x:f>
      </x:c>
      <x:c r="X7" s="36" t="str">
        <x:f>IF(Hackathons!AE5="","",Hackathons!AE5)</x:f>
        <x:v>Exclude</x:v>
      </x:c>
      <x:c r="Y7" s="36" t="str">
        <x:f>IF(Hackathons!AF5="","",Hackathons!AF5)</x:f>
        <x:v>US$100,000 IBM Bluemix credit value</x:v>
      </x:c>
    </x:row>
    <x:row r="8">
      <x:c r="A8" s="36" t="n">
        <x:f>Hackathons!A11</x:f>
        <x:v>10</x:v>
      </x:c>
      <x:c r="B8" s="36" t="str">
        <x:f>Hackathons!B11</x:f>
        <x:v>DataDriven Hackathon 2017</x:v>
      </x:c>
      <x:c r="C8" s="36" t="str">
        <x:f>Hackathons!AG11</x:f>
        <x:v>Best Project</x:v>
      </x:c>
      <x:c r="D8" s="36" t="str">
        <x:f>IF(Hackathons!Q11="","",Hackathons!Q11)</x:f>
        <x:v>Best Project</x:v>
      </x:c>
      <x:c r="E8" s="36" t="str">
        <x:f>IF(Hackathons!R11="","",Hackathons!R11)</x:f>
        <x:v>Rated best project</x:v>
      </x:c>
      <x:c r="F8" s="39" t="n">
        <x:f>IF(Hackathons!AH11="","",Hackathons!AH11)</x:f>
        <x:v>3</x:v>
      </x:c>
      <x:c r="G8" s="36" t="str">
        <x:f>IF(Hackathons!AI11="","",Hackathons!AI11)</x:f>
        <x:v>Per Team</x:v>
      </x:c>
      <x:c r="H8" s="40" t="str">
        <x:f>IF(Hackathons!S11="","",IF(G8="Per Team Member",Hackathons!S11*F8,Hackathons!S11))</x:f>
      </x:c>
      <x:c r="I8" s="36" t="str">
        <x:f>IF(Hackathons!T11="","",Hackathons!T11)</x:f>
      </x:c>
      <x:c r="J8" s="498" t="str">
        <x:f>IF(OR(H8="",F8=""),"",H8/F8)</x:f>
      </x:c>
      <x:c r="K8" s="40" t="str">
        <x:f>IF(Hackathons!U11="","",IF(G8="Per Team Member",Hackathons!U11*F8,Hackathons!U11))</x:f>
      </x:c>
      <x:c r="L8" s="36" t="str">
        <x:f>IF(Hackathons!V11="","",Hackathons!V11)</x:f>
      </x:c>
      <x:c r="M8" s="498" t="str">
        <x:f>IF(OR(K8="",F8=""),"",K8/F8)</x:f>
      </x:c>
      <x:c r="N8" s="39" t="str">
        <x:f>IF(Hackathons!W11="","",IF(G8="Per Team Member",Hackathons!W11*F8,Hackathons!W11))</x:f>
      </x:c>
      <x:c r="O8" s="40" t="str">
        <x:f>IF(Hackathons!X11="","",IF(G8="Per Team Member",Hackathons!X11*F8,Hackathons!X11))</x:f>
      </x:c>
      <x:c r="P8" s="36" t="str">
        <x:f>IF(Hackathons!Y11="","",Hackathons!Y11)</x:f>
      </x:c>
      <x:c r="Q8" s="498" t="str">
        <x:f>IF(OR(O8="",F8=""),"",O8/F8)</x:f>
      </x:c>
      <x:c r="R8" s="40" t="str">
        <x:f>IF(Hackathons!AC11="","",IF(G8="Per Team Member",Hackathons!AC11*F8,Hackathons!AC11))</x:f>
      </x:c>
      <x:c r="S8" s="36" t="str">
        <x:f>IF(Hackathons!AD11="","",Hackathons!AD11)</x:f>
      </x:c>
      <x:c r="T8" s="498" t="str">
        <x:f>IF(OR(R8="",F8="",F8=0),"",R8/F8)</x:f>
      </x:c>
      <x:c r="U8" s="36" t="str">
        <x:f>IF(Hackathons!Z11="","",Hackathons!Z11)</x:f>
      </x:c>
      <x:c r="V8" s="36" t="str">
        <x:f>IF(Hackathons!AA11="","",Hackathons!AA11)</x:f>
      </x:c>
      <x:c r="W8" s="39" t="str">
        <x:f>IF(Hackathons!AB11="","",Hackathons!AB11)</x:f>
      </x:c>
      <x:c r="X8" s="36" t="str">
        <x:f>IF(Hackathons!AE11="","",Hackathons!AE11)</x:f>
        <x:v>Exclude</x:v>
      </x:c>
      <x:c r="Y8" s="36" t="str">
        <x:f>IF(Hackathons!AF11="","",Hackathons!AF11)</x:f>
        <x:v>Recognition only</x:v>
      </x:c>
    </x:row>
    <x:row r="9">
      <x:c r="A9" s="36" t="n">
        <x:f>Hackathons!A15</x:f>
        <x:v>14</x:v>
      </x:c>
      <x:c r="B9" s="36" t="e">
        <x:f>Hackathons!B15</x:f>
        <x:v>#SPSEC SP Hackathon 2018</x:v>
      </x:c>
      <x:c r="C9" s="36" t="str">
        <x:f>Hackathons!AG15</x:f>
        <x:v>3rd Place — S$100 Capitaland Voucher Each</x:v>
      </x:c>
      <x:c r="D9" s="36" t="str">
        <x:f>IF(Hackathons!Q15="","",Hackathons!Q15)</x:f>
        <x:v>3rd Place</x:v>
      </x:c>
      <x:c r="E9" s="36" t="str">
        <x:f>IF(Hackathons!R15="","",Hackathons!R15)</x:f>
      </x:c>
      <x:c r="F9" s="39" t="n">
        <x:f>IF(Hackathons!AH15="","",Hackathons!AH15)</x:f>
        <x:v>2</x:v>
      </x:c>
      <x:c r="G9" s="36" t="str">
        <x:f>IF(Hackathons!AI15="","",Hackathons!AI15)</x:f>
        <x:v>Per Team Member</x:v>
      </x:c>
      <x:c r="H9" s="40" t="n">
        <x:f>IF(Hackathons!S15="","",IF(G9="Per Team Member",Hackathons!S15*F9,Hackathons!S15))</x:f>
        <x:v>200</x:v>
      </x:c>
      <x:c r="I9" s="36" t="str">
        <x:f>IF(Hackathons!T15="","",Hackathons!T15)</x:f>
        <x:v>SGD</x:v>
      </x:c>
      <x:c r="J9" s="498" t="n">
        <x:f>IF(OR(H9="",F9=""),"",H9/F9)</x:f>
        <x:v>100</x:v>
      </x:c>
      <x:c r="K9" s="40" t="str">
        <x:f>IF(Hackathons!U15="","",IF(G9="Per Team Member",Hackathons!U15*F9,Hackathons!U15))</x:f>
      </x:c>
      <x:c r="L9" s="36" t="str">
        <x:f>IF(Hackathons!V15="","",Hackathons!V15)</x:f>
      </x:c>
      <x:c r="M9" s="498" t="str">
        <x:f>IF(OR(K9="",F9=""),"",K9/F9)</x:f>
      </x:c>
      <x:c r="N9" s="39" t="str">
        <x:f>IF(Hackathons!W15="","",IF(G9="Per Team Member",Hackathons!W15*F9,Hackathons!W15))</x:f>
      </x:c>
      <x:c r="O9" s="40" t="str">
        <x:f>IF(Hackathons!X15="","",IF(G9="Per Team Member",Hackathons!X15*F9,Hackathons!X15))</x:f>
      </x:c>
      <x:c r="P9" s="36" t="str">
        <x:f>IF(Hackathons!Y15="","",Hackathons!Y15)</x:f>
      </x:c>
      <x:c r="Q9" s="498" t="str">
        <x:f>IF(OR(O9="",F9=""),"",O9/F9)</x:f>
      </x:c>
      <x:c r="R9" s="40" t="str">
        <x:f>IF(Hackathons!AC15="","",IF(G9="Per Team Member",Hackathons!AC15*F9,Hackathons!AC15))</x:f>
      </x:c>
      <x:c r="S9" s="36" t="str">
        <x:f>IF(Hackathons!AD15="","",Hackathons!AD15)</x:f>
      </x:c>
      <x:c r="T9" s="498" t="str">
        <x:f>IF(OR(R9="",F9="",F9=0),"",R9/F9)</x:f>
      </x:c>
      <x:c r="U9" s="36" t="str">
        <x:f>IF(Hackathons!Z15="","",Hackathons!Z15)</x:f>
        <x:v>S$100 Capitaland voucher</x:v>
      </x:c>
      <x:c r="V9" s="36" t="str">
        <x:f>IF(Hackathons!AA15="","",Hackathons!AA15)</x:f>
      </x:c>
      <x:c r="W9" s="39" t="str">
        <x:f>IF(Hackathons!AB15="","",Hackathons!AB15)</x:f>
      </x:c>
      <x:c r="X9" s="36" t="str">
        <x:f>IF(Hackathons!AE15="","",Hackathons!AE15)</x:f>
        <x:v>Yes</x:v>
      </x:c>
      <x:c r="Y9" s="36" t="str">
        <x:f>IF(Hackathons!AF15="","",Hackathons!AF15)</x:f>
        <x:v>Voucher counted as cash equivalent</x:v>
      </x:c>
    </x:row>
    <x:row r="10">
      <x:c r="A10" s="36" t="n">
        <x:f>Hackathons!A18</x:f>
        <x:v>17</x:v>
      </x:c>
      <x:c r="B10" s="36" t="e">
        <x:f>Hackathons!B18</x:f>
        <x:v>#Mosque-Tech Challenge 2018</x:v>
      </x:c>
      <x:c r="C10" s="36" t="str">
        <x:f>Hackathons!AG18</x:f>
        <x:v>2nd Place — S$600 Cash</x:v>
      </x:c>
      <x:c r="D10" s="36" t="str">
        <x:f>IF(Hackathons!Q18="","",Hackathons!Q18)</x:f>
        <x:v>2nd Place</x:v>
      </x:c>
      <x:c r="E10" s="36" t="str">
        <x:f>IF(Hackathons!R18="","",Hackathons!R18)</x:f>
      </x:c>
      <x:c r="F10" s="39" t="n">
        <x:f>IF(Hackathons!AH18="","",Hackathons!AH18)</x:f>
        <x:v>3</x:v>
      </x:c>
      <x:c r="G10" s="36" t="str">
        <x:f>IF(Hackathons!AI18="","",Hackathons!AI18)</x:f>
        <x:v>Per Team</x:v>
      </x:c>
      <x:c r="H10" s="40" t="n">
        <x:f>IF(Hackathons!S18="","",IF(G10="Per Team Member",Hackathons!S18*F10,Hackathons!S18))</x:f>
        <x:v>600</x:v>
      </x:c>
      <x:c r="I10" s="36" t="str">
        <x:f>IF(Hackathons!T18="","",Hackathons!T18)</x:f>
        <x:v>SGD</x:v>
      </x:c>
      <x:c r="J10" s="498" t="n">
        <x:f>IF(OR(H10="",F10=""),"",H10/F10)</x:f>
        <x:v>200</x:v>
      </x:c>
      <x:c r="K10" s="40" t="str">
        <x:f>IF(Hackathons!U18="","",IF(G10="Per Team Member",Hackathons!U18*F10,Hackathons!U18))</x:f>
      </x:c>
      <x:c r="L10" s="36" t="str">
        <x:f>IF(Hackathons!V18="","",Hackathons!V18)</x:f>
      </x:c>
      <x:c r="M10" s="498" t="str">
        <x:f>IF(OR(K10="",F10=""),"",K10/F10)</x:f>
      </x:c>
      <x:c r="N10" s="39" t="str">
        <x:f>IF(Hackathons!W18="","",IF(G10="Per Team Member",Hackathons!W18*F10,Hackathons!W18))</x:f>
      </x:c>
      <x:c r="O10" s="40" t="str">
        <x:f>IF(Hackathons!X18="","",IF(G10="Per Team Member",Hackathons!X18*F10,Hackathons!X18))</x:f>
      </x:c>
      <x:c r="P10" s="36" t="str">
        <x:f>IF(Hackathons!Y18="","",Hackathons!Y18)</x:f>
      </x:c>
      <x:c r="Q10" s="498" t="str">
        <x:f>IF(OR(O10="",F10=""),"",O10/F10)</x:f>
      </x:c>
      <x:c r="R10" s="40" t="str">
        <x:f>IF(Hackathons!AC18="","",IF(G10="Per Team Member",Hackathons!AC18*F10,Hackathons!AC18))</x:f>
      </x:c>
      <x:c r="S10" s="36" t="str">
        <x:f>IF(Hackathons!AD18="","",Hackathons!AD18)</x:f>
      </x:c>
      <x:c r="T10" s="498" t="str">
        <x:f>IF(OR(R10="",F10="",F10=0),"",R10/F10)</x:f>
      </x:c>
      <x:c r="U10" s="36" t="str">
        <x:f>IF(Hackathons!Z18="","",Hackathons!Z18)</x:f>
      </x:c>
      <x:c r="V10" s="36" t="str">
        <x:f>IF(Hackathons!AA18="","",Hackathons!AA18)</x:f>
      </x:c>
      <x:c r="W10" s="39" t="str">
        <x:f>IF(Hackathons!AB18="","",Hackathons!AB18)</x:f>
      </x:c>
      <x:c r="X10" s="36" t="str">
        <x:f>IF(Hackathons!AE18="","",Hackathons!AE18)</x:f>
        <x:v>Yes</x:v>
      </x:c>
      <x:c r="Y10" s="36" t="str">
        <x:f>IF(Hackathons!AF18="","",Hackathons!AF18)</x:f>
        <x:v>Explicit cash</x:v>
      </x:c>
    </x:row>
    <x:row r="11">
      <x:c r="A11" s="36" t="n">
        <x:f>Hackathons!A26</x:f>
        <x:v>25</x:v>
      </x:c>
      <x:c r="B11" s="36" t="e">
        <x:f>Hackathons!B26</x:f>
        <x:v>#Mosque Hackathon 2019</x:v>
      </x:c>
      <x:c r="C11" s="36" t="str">
        <x:f>Hackathons!AG26</x:f>
        <x:v>3rd Place — S$500 Cash</x:v>
      </x:c>
      <x:c r="D11" s="36" t="str">
        <x:f>IF(Hackathons!Q26="","",Hackathons!Q26)</x:f>
        <x:v>3rd Place</x:v>
      </x:c>
      <x:c r="E11" s="36" t="str">
        <x:f>IF(Hackathons!R26="","",Hackathons!R26)</x:f>
      </x:c>
      <x:c r="F11" s="39" t="n">
        <x:f>IF(Hackathons!AH26="","",Hackathons!AH26)</x:f>
        <x:v>6</x:v>
      </x:c>
      <x:c r="G11" s="36" t="str">
        <x:f>IF(Hackathons!AI26="","",Hackathons!AI26)</x:f>
        <x:v>Per Team</x:v>
      </x:c>
      <x:c r="H11" s="40" t="n">
        <x:f>IF(Hackathons!S26="","",IF(G11="Per Team Member",Hackathons!S26*F11,Hackathons!S26))</x:f>
        <x:v>500</x:v>
      </x:c>
      <x:c r="I11" s="36" t="str">
        <x:f>IF(Hackathons!T26="","",Hackathons!T26)</x:f>
        <x:v>SGD</x:v>
      </x:c>
      <x:c r="J11" s="498" t="n">
        <x:f>IF(OR(H11="",F11=""),"",H11/F11)</x:f>
        <x:v>83.33333333333333</x:v>
      </x:c>
      <x:c r="K11" s="40" t="str">
        <x:f>IF(Hackathons!U26="","",IF(G11="Per Team Member",Hackathons!U26*F11,Hackathons!U26))</x:f>
      </x:c>
      <x:c r="L11" s="36" t="str">
        <x:f>IF(Hackathons!V26="","",Hackathons!V26)</x:f>
      </x:c>
      <x:c r="M11" s="498" t="str">
        <x:f>IF(OR(K11="",F11=""),"",K11/F11)</x:f>
      </x:c>
      <x:c r="N11" s="39" t="str">
        <x:f>IF(Hackathons!W26="","",IF(G11="Per Team Member",Hackathons!W26*F11,Hackathons!W26))</x:f>
      </x:c>
      <x:c r="O11" s="40" t="str">
        <x:f>IF(Hackathons!X26="","",IF(G11="Per Team Member",Hackathons!X26*F11,Hackathons!X26))</x:f>
      </x:c>
      <x:c r="P11" s="36" t="str">
        <x:f>IF(Hackathons!Y26="","",Hackathons!Y26)</x:f>
      </x:c>
      <x:c r="Q11" s="498" t="str">
        <x:f>IF(OR(O11="",F11=""),"",O11/F11)</x:f>
      </x:c>
      <x:c r="R11" s="40" t="str">
        <x:f>IF(Hackathons!AC26="","",IF(G11="Per Team Member",Hackathons!AC26*F11,Hackathons!AC26))</x:f>
      </x:c>
      <x:c r="S11" s="36" t="str">
        <x:f>IF(Hackathons!AD26="","",Hackathons!AD26)</x:f>
      </x:c>
      <x:c r="T11" s="498" t="str">
        <x:f>IF(OR(R11="",F11="",F11=0),"",R11/F11)</x:f>
      </x:c>
      <x:c r="U11" s="36" t="str">
        <x:f>IF(Hackathons!Z26="","",Hackathons!Z26)</x:f>
      </x:c>
      <x:c r="V11" s="36" t="str">
        <x:f>IF(Hackathons!AA26="","",Hackathons!AA26)</x:f>
      </x:c>
      <x:c r="W11" s="39" t="str">
        <x:f>IF(Hackathons!AB26="","",Hackathons!AB26)</x:f>
      </x:c>
      <x:c r="X11" s="36" t="str">
        <x:f>IF(Hackathons!AE26="","",Hackathons!AE26)</x:f>
        <x:v>Yes</x:v>
      </x:c>
      <x:c r="Y11" s="36" t="str">
        <x:f>IF(Hackathons!AF26="","",Hackathons!AF26)</x:f>
        <x:v>Explicit cash</x:v>
      </x:c>
    </x:row>
    <x:row r="12">
      <x:c r="A12" s="36" t="n">
        <x:f>Hackathons!A34</x:f>
        <x:v>33</x:v>
      </x:c>
      <x:c r="B12" s="36" t="str">
        <x:f>Hackathons!B34</x:f>
        <x:v>ICP Ideathon 2023</x:v>
      </x:c>
      <x:c r="C12" s="36" t="str">
        <x:f>Hackathons!AG34</x:f>
        <x:v>3rd Place — S$250 Cash</x:v>
      </x:c>
      <x:c r="D12" s="36" t="str">
        <x:f>IF(Hackathons!Q34="","",Hackathons!Q34)</x:f>
        <x:v>3rd Place</x:v>
      </x:c>
      <x:c r="E12" s="36" t="str">
        <x:f>IF(Hackathons!R34="","",Hackathons!R34)</x:f>
      </x:c>
      <x:c r="F12" s="39" t="n">
        <x:f>IF(Hackathons!AH34="","",Hackathons!AH34)</x:f>
        <x:v>2</x:v>
      </x:c>
      <x:c r="G12" s="36" t="str">
        <x:f>IF(Hackathons!AI34="","",Hackathons!AI34)</x:f>
        <x:v>Per Team</x:v>
      </x:c>
      <x:c r="H12" s="40" t="n">
        <x:f>IF(Hackathons!S34="","",IF(G12="Per Team Member",Hackathons!S34*F12,Hackathons!S34))</x:f>
        <x:v>250</x:v>
      </x:c>
      <x:c r="I12" s="36" t="str">
        <x:f>IF(Hackathons!T34="","",Hackathons!T34)</x:f>
        <x:v>SGD</x:v>
      </x:c>
      <x:c r="J12" s="498" t="n">
        <x:f>IF(OR(H12="",F12=""),"",H12/F12)</x:f>
        <x:v>125</x:v>
      </x:c>
      <x:c r="K12" s="40" t="str">
        <x:f>IF(Hackathons!U34="","",IF(G12="Per Team Member",Hackathons!U34*F12,Hackathons!U34))</x:f>
      </x:c>
      <x:c r="L12" s="36" t="str">
        <x:f>IF(Hackathons!V34="","",Hackathons!V34)</x:f>
      </x:c>
      <x:c r="M12" s="498" t="str">
        <x:f>IF(OR(K12="",F12=""),"",K12/F12)</x:f>
      </x:c>
      <x:c r="N12" s="39" t="str">
        <x:f>IF(Hackathons!W34="","",IF(G12="Per Team Member",Hackathons!W34*F12,Hackathons!W34))</x:f>
      </x:c>
      <x:c r="O12" s="40" t="str">
        <x:f>IF(Hackathons!X34="","",IF(G12="Per Team Member",Hackathons!X34*F12,Hackathons!X34))</x:f>
      </x:c>
      <x:c r="P12" s="36" t="str">
        <x:f>IF(Hackathons!Y34="","",Hackathons!Y34)</x:f>
      </x:c>
      <x:c r="Q12" s="498" t="str">
        <x:f>IF(OR(O12="",F12=""),"",O12/F12)</x:f>
      </x:c>
      <x:c r="R12" s="40" t="str">
        <x:f>IF(Hackathons!AC34="","",IF(G12="Per Team Member",Hackathons!AC34*F12,Hackathons!AC34))</x:f>
      </x:c>
      <x:c r="S12" s="36" t="str">
        <x:f>IF(Hackathons!AD34="","",Hackathons!AD34)</x:f>
      </x:c>
      <x:c r="T12" s="498" t="str">
        <x:f>IF(OR(R12="",F12="",F12=0),"",R12/F12)</x:f>
      </x:c>
      <x:c r="U12" s="36" t="str">
        <x:f>IF(Hackathons!Z34="","",Hackathons!Z34)</x:f>
      </x:c>
      <x:c r="V12" s="36" t="str">
        <x:f>IF(Hackathons!AA34="","",Hackathons!AA34)</x:f>
      </x:c>
      <x:c r="W12" s="39" t="str">
        <x:f>IF(Hackathons!AB34="","",Hackathons!AB34)</x:f>
      </x:c>
      <x:c r="X12" s="36" t="str">
        <x:f>IF(Hackathons!AE34="","",Hackathons!AE34)</x:f>
        <x:v>Yes</x:v>
      </x:c>
      <x:c r="Y12" s="36" t="str">
        <x:f>IF(Hackathons!AF34="","",Hackathons!AF34)</x:f>
        <x:v>Confirmed cash</x:v>
      </x:c>
    </x:row>
    <x:row r="13">
      <x:c r="A13" s="36" t="n">
        <x:f>Hackathons!A36</x:f>
        <x:v>35</x:v>
      </x:c>
      <x:c r="B13" s="36" t="str">
        <x:f>Hackathons!B36</x:f>
        <x:v>Mosque Tech Challenge 2025</x:v>
      </x:c>
      <x:c r="C13" s="36" t="str">
        <x:f>Hackathons!AG36</x:f>
        <x:v>2nd Place — S$1,000 Cash</x:v>
      </x:c>
      <x:c r="D13" s="36" t="str">
        <x:f>IF(Hackathons!Q36="","",Hackathons!Q36)</x:f>
        <x:v>2nd Place</x:v>
      </x:c>
      <x:c r="E13" s="36" t="str">
        <x:f>IF(Hackathons!R36="","",Hackathons!R36)</x:f>
      </x:c>
      <x:c r="F13" s="39" t="n">
        <x:f>IF(Hackathons!AH36="","",Hackathons!AH36)</x:f>
        <x:v>4</x:v>
      </x:c>
      <x:c r="G13" s="36" t="str">
        <x:f>IF(Hackathons!AI36="","",Hackathons!AI36)</x:f>
        <x:v>Per Team</x:v>
      </x:c>
      <x:c r="H13" s="40" t="n">
        <x:f>IF(Hackathons!S36="","",IF(G13="Per Team Member",Hackathons!S36*F13,Hackathons!S36))</x:f>
        <x:v>1000</x:v>
      </x:c>
      <x:c r="I13" s="36" t="str">
        <x:f>IF(Hackathons!T36="","",Hackathons!T36)</x:f>
        <x:v>SGD</x:v>
      </x:c>
      <x:c r="J13" s="498" t="n">
        <x:f>IF(OR(H13="",F13=""),"",H13/F13)</x:f>
        <x:v>250</x:v>
      </x:c>
      <x:c r="K13" s="40" t="str">
        <x:f>IF(Hackathons!U36="","",IF(G13="Per Team Member",Hackathons!U36*F13,Hackathons!U36))</x:f>
      </x:c>
      <x:c r="L13" s="36" t="str">
        <x:f>IF(Hackathons!V36="","",Hackathons!V36)</x:f>
      </x:c>
      <x:c r="M13" s="498" t="str">
        <x:f>IF(OR(K13="",F13=""),"",K13/F13)</x:f>
      </x:c>
      <x:c r="N13" s="39" t="str">
        <x:f>IF(Hackathons!W36="","",IF(G13="Per Team Member",Hackathons!W36*F13,Hackathons!W36))</x:f>
      </x:c>
      <x:c r="O13" s="40" t="str">
        <x:f>IF(Hackathons!X36="","",IF(G13="Per Team Member",Hackathons!X36*F13,Hackathons!X36))</x:f>
      </x:c>
      <x:c r="P13" s="36" t="str">
        <x:f>IF(Hackathons!Y36="","",Hackathons!Y36)</x:f>
      </x:c>
      <x:c r="Q13" s="498" t="str">
        <x:f>IF(OR(O13="",F13=""),"",O13/F13)</x:f>
      </x:c>
      <x:c r="R13" s="40" t="str">
        <x:f>IF(Hackathons!AC36="","",IF(G13="Per Team Member",Hackathons!AC36*F13,Hackathons!AC36))</x:f>
      </x:c>
      <x:c r="S13" s="36" t="str">
        <x:f>IF(Hackathons!AD36="","",Hackathons!AD36)</x:f>
      </x:c>
      <x:c r="T13" s="498" t="str">
        <x:f>IF(OR(R13="",F13="",F13=0),"",R13/F13)</x:f>
      </x:c>
      <x:c r="U13" s="36" t="str">
        <x:f>IF(Hackathons!Z36="","",Hackathons!Z36)</x:f>
      </x:c>
      <x:c r="V13" s="36" t="str">
        <x:f>IF(Hackathons!AA36="","",Hackathons!AA36)</x:f>
      </x:c>
      <x:c r="W13" s="39" t="str">
        <x:f>IF(Hackathons!AB36="","",Hackathons!AB36)</x:f>
      </x:c>
      <x:c r="X13" s="36" t="str">
        <x:f>IF(Hackathons!AE36="","",Hackathons!AE36)</x:f>
        <x:v>Yes</x:v>
      </x:c>
      <x:c r="Y13" s="36" t="str">
        <x:f>IF(Hackathons!AF36="","",Hackathons!AF36)</x:f>
        <x:v>Confirmed cash</x:v>
      </x:c>
    </x:row>
    <x:row r="14">
      <x:c r="A14" s="36" t="n">
        <x:f>Hackathons!A39</x:f>
        <x:v>38</x:v>
      </x:c>
      <x:c r="B14" s="36" t="str">
        <x:f>Hackathons!B39</x:f>
        <x:v>OOJU X Manus.AI Hackathon 2025</x:v>
      </x:c>
      <x:c r="C14" s="36" t="str">
        <x:f>Hackathons!AG39</x:f>
        <x:v>2nd Place — Manus Pro Subscription (US$39/month each)</x:v>
      </x:c>
      <x:c r="D14" s="36" t="str">
        <x:f>IF(Hackathons!Q39="","",Hackathons!Q39)</x:f>
        <x:v>2nd Prize</x:v>
      </x:c>
      <x:c r="E14" s="36" t="str">
        <x:f>IF(Hackathons!R39="","",Hackathons!R39)</x:f>
      </x:c>
      <x:c r="F14" s="39" t="n">
        <x:f>IF(Hackathons!AH39="","",Hackathons!AH39)</x:f>
        <x:v>4</x:v>
      </x:c>
      <x:c r="G14" s="36" t="str">
        <x:f>IF(Hackathons!AI39="","",Hackathons!AI39)</x:f>
        <x:v>Per Team Member</x:v>
      </x:c>
      <x:c r="H14" s="40" t="str">
        <x:f>IF(Hackathons!S39="","",IF(G14="Per Team Member",Hackathons!S39*F14,Hackathons!S39))</x:f>
      </x:c>
      <x:c r="I14" s="36" t="str">
        <x:f>IF(Hackathons!T39="","",Hackathons!T39)</x:f>
      </x:c>
      <x:c r="J14" s="498" t="str">
        <x:f>IF(OR(H14="",F14=""),"",H14/F14)</x:f>
      </x:c>
      <x:c r="K14" s="40" t="str">
        <x:f>IF(Hackathons!U39="","",IF(G14="Per Team Member",Hackathons!U39*F14,Hackathons!U39))</x:f>
      </x:c>
      <x:c r="L14" s="36" t="str">
        <x:f>IF(Hackathons!V39="","",Hackathons!V39)</x:f>
      </x:c>
      <x:c r="M14" s="498" t="str">
        <x:f>IF(OR(K14="",F14=""),"",K14/F14)</x:f>
      </x:c>
      <x:c r="N14" s="39" t="n">
        <x:f>IF(Hackathons!W39="","",IF(G14="Per Team Member",Hackathons!W39*F14,Hackathons!W39))</x:f>
        <x:v>4</x:v>
      </x:c>
      <x:c r="O14" s="40" t="n">
        <x:f>IF(Hackathons!X39="","",IF(G14="Per Team Member",Hackathons!X39*F14,Hackathons!X39))</x:f>
        <x:v>156</x:v>
      </x:c>
      <x:c r="P14" s="36" t="str">
        <x:f>IF(Hackathons!Y39="","",Hackathons!Y39)</x:f>
        <x:v>USD</x:v>
      </x:c>
      <x:c r="Q14" s="498" t="n">
        <x:f>IF(OR(O14="",F14=""),"",O14/F14)</x:f>
        <x:v>39</x:v>
      </x:c>
      <x:c r="R14" s="40" t="str">
        <x:f>IF(Hackathons!AC39="","",IF(G14="Per Team Member",Hackathons!AC39*F14,Hackathons!AC39))</x:f>
      </x:c>
      <x:c r="S14" s="36" t="str">
        <x:f>IF(Hackathons!AD39="","",Hackathons!AD39)</x:f>
      </x:c>
      <x:c r="T14" s="498" t="str">
        <x:f>IF(OR(R14="",F14="",F14=0),"",R14/F14)</x:f>
      </x:c>
      <x:c r="U14" s="36" t="str">
        <x:f>IF(Hackathons!Z39="","",Hackathons!Z39)</x:f>
        <x:v>Manus Pro subscription</x:v>
      </x:c>
      <x:c r="V14" s="36" t="str">
        <x:f>IF(Hackathons!AA39="","",Hackathons!AA39)</x:f>
      </x:c>
      <x:c r="W14" s="39" t="str">
        <x:f>IF(Hackathons!AB39="","",Hackathons!AB39)</x:f>
      </x:c>
      <x:c r="X14" s="36" t="str">
        <x:f>IF(Hackathons!AE39="","",Hackathons!AE39)</x:f>
        <x:v>Exclude</x:v>
      </x:c>
      <x:c r="Y14" s="36" t="str">
        <x:f>IF(Hackathons!AF39="","",Hackathons!AF39)</x:f>
        <x:v>US$39 monthly value at award period</x:v>
      </x:c>
    </x:row>
    <x:row r="15">
      <x:c r="A15" s="36" t="n">
        <x:f>Hackathons!A41</x:f>
        <x:v>40</x:v>
      </x:c>
      <x:c r="B15" s="36" t="str">
        <x:f>Hackathons!B41</x:f>
        <x:v>Sarawak AI Hackathon 2025</x:v>
      </x:c>
      <x:c r="C15" s="36" t="str">
        <x:f>Hackathons!AG41</x:f>
        <x:v>Novel Hackathon Finisher — Trophy</x:v>
      </x:c>
      <x:c r="D15" s="36" t="str">
        <x:f>IF(Hackathons!Q41="","",Hackathons!Q41)</x:f>
        <x:v>Novel Hackathon Finisher</x:v>
      </x:c>
      <x:c r="E15" s="36" t="str">
        <x:f>IF(Hackathons!R41="","",Hackathons!R41)</x:f>
      </x:c>
      <x:c r="F15" s="39" t="n">
        <x:f>IF(Hackathons!AH41="","",Hackathons!AH41)</x:f>
        <x:v>2</x:v>
      </x:c>
      <x:c r="G15" s="36" t="str">
        <x:f>IF(Hackathons!AI41="","",Hackathons!AI41)</x:f>
        <x:v>Per Team</x:v>
      </x:c>
      <x:c r="H15" s="40" t="str">
        <x:f>IF(Hackathons!S41="","",IF(G15="Per Team Member",Hackathons!S41*F15,Hackathons!S41))</x:f>
      </x:c>
      <x:c r="I15" s="36" t="str">
        <x:f>IF(Hackathons!T41="","",Hackathons!T41)</x:f>
      </x:c>
      <x:c r="J15" s="498" t="str">
        <x:f>IF(OR(H15="",F15=""),"",H15/F15)</x:f>
      </x:c>
      <x:c r="K15" s="40" t="str">
        <x:f>IF(Hackathons!U41="","",IF(G15="Per Team Member",Hackathons!U41*F15,Hackathons!U41))</x:f>
      </x:c>
      <x:c r="L15" s="36" t="str">
        <x:f>IF(Hackathons!V41="","",Hackathons!V41)</x:f>
      </x:c>
      <x:c r="M15" s="498" t="str">
        <x:f>IF(OR(K15="",F15=""),"",K15/F15)</x:f>
      </x:c>
      <x:c r="N15" s="39" t="str">
        <x:f>IF(Hackathons!W41="","",IF(G15="Per Team Member",Hackathons!W41*F15,Hackathons!W41))</x:f>
      </x:c>
      <x:c r="O15" s="40" t="str">
        <x:f>IF(Hackathons!X41="","",IF(G15="Per Team Member",Hackathons!X41*F15,Hackathons!X41))</x:f>
      </x:c>
      <x:c r="P15" s="36" t="str">
        <x:f>IF(Hackathons!Y41="","",Hackathons!Y41)</x:f>
      </x:c>
      <x:c r="Q15" s="498" t="str">
        <x:f>IF(OR(O15="",F15=""),"",O15/F15)</x:f>
      </x:c>
      <x:c r="R15" s="40" t="str">
        <x:f>IF(Hackathons!AC41="","",IF(G15="Per Team Member",Hackathons!AC41*F15,Hackathons!AC41))</x:f>
      </x:c>
      <x:c r="S15" s="36" t="str">
        <x:f>IF(Hackathons!AD41="","",Hackathons!AD41)</x:f>
      </x:c>
      <x:c r="T15" s="498" t="str">
        <x:f>IF(OR(R15="",F15="",F15=0),"",R15/F15)</x:f>
      </x:c>
      <x:c r="U15" s="36" t="str">
        <x:f>IF(Hackathons!Z41="","",Hackathons!Z41)</x:f>
        <x:v>Trophy</x:v>
      </x:c>
      <x:c r="V15" s="36" t="str">
        <x:f>IF(Hackathons!AA41="","",Hackathons!AA41)</x:f>
        <x:v>Trophy</x:v>
      </x:c>
      <x:c r="W15" s="39" t="n">
        <x:f>IF(Hackathons!AB41="","",Hackathons!AB41)</x:f>
        <x:v>1</x:v>
      </x:c>
      <x:c r="X15" s="36" t="str">
        <x:f>IF(Hackathons!AE41="","",Hackathons!AE41)</x:f>
        <x:v>Exclude</x:v>
      </x:c>
      <x:c r="Y15" s="36" t="str">
        <x:f>IF(Hackathons!AF41="","",Hackathons!AF41)</x:f>
        <x:v>Trophy, not cash</x:v>
      </x:c>
    </x:row>
    <x:row r="16">
      <x:c r="A16" s="36" t="n">
        <x:f>Hackathons!A43</x:f>
        <x:v>42</x:v>
      </x:c>
      <x:c r="B16" s="36" t="str">
        <x:f>Hackathons!B43</x:f>
        <x:v>Nosana Hackathon 2025</x:v>
      </x:c>
      <x:c r="C16" s="36" t="str">
        <x:f>Hackathons!AG43</x:f>
        <x:v>1st Place — US$500 Nosana Cloud Credits</x:v>
      </x:c>
      <x:c r="D16" s="36" t="str">
        <x:f>IF(Hackathons!Q43="","",Hackathons!Q43)</x:f>
        <x:v>1st Prize</x:v>
      </x:c>
      <x:c r="E16" s="36" t="str">
        <x:f>IF(Hackathons!R43="","",Hackathons!R43)</x:f>
      </x:c>
      <x:c r="F16" s="39" t="n">
        <x:f>IF(Hackathons!AH43="","",Hackathons!AH43)</x:f>
        <x:v>1</x:v>
      </x:c>
      <x:c r="G16" s="36" t="str">
        <x:f>IF(Hackathons!AI43="","",Hackathons!AI43)</x:f>
        <x:v>Per Team</x:v>
      </x:c>
      <x:c r="H16" s="40" t="str">
        <x:f>IF(Hackathons!S43="","",IF(G16="Per Team Member",Hackathons!S43*F16,Hackathons!S43))</x:f>
      </x:c>
      <x:c r="I16" s="36" t="str">
        <x:f>IF(Hackathons!T43="","",Hackathons!T43)</x:f>
      </x:c>
      <x:c r="J16" s="498" t="str">
        <x:f>IF(OR(H16="",F16=""),"",H16/F16)</x:f>
      </x:c>
      <x:c r="K16" s="40" t="n">
        <x:f>IF(Hackathons!U43="","",IF(G16="Per Team Member",Hackathons!U43*F16,Hackathons!U43))</x:f>
        <x:v>500</x:v>
      </x:c>
      <x:c r="L16" s="36" t="str">
        <x:f>IF(Hackathons!V43="","",Hackathons!V43)</x:f>
        <x:v>USD</x:v>
      </x:c>
      <x:c r="M16" s="498" t="n">
        <x:f>IF(OR(K16="",F16=""),"",K16/F16)</x:f>
        <x:v>500</x:v>
      </x:c>
      <x:c r="N16" s="39" t="str">
        <x:f>IF(Hackathons!W43="","",IF(G16="Per Team Member",Hackathons!W43*F16,Hackathons!W43))</x:f>
      </x:c>
      <x:c r="O16" s="40" t="str">
        <x:f>IF(Hackathons!X43="","",IF(G16="Per Team Member",Hackathons!X43*F16,Hackathons!X43))</x:f>
      </x:c>
      <x:c r="P16" s="36" t="str">
        <x:f>IF(Hackathons!Y43="","",Hackathons!Y43)</x:f>
      </x:c>
      <x:c r="Q16" s="498" t="str">
        <x:f>IF(OR(O16="",F16=""),"",O16/F16)</x:f>
      </x:c>
      <x:c r="R16" s="40" t="str">
        <x:f>IF(Hackathons!AC43="","",IF(G16="Per Team Member",Hackathons!AC43*F16,Hackathons!AC43))</x:f>
      </x:c>
      <x:c r="S16" s="36" t="str">
        <x:f>IF(Hackathons!AD43="","",Hackathons!AD43)</x:f>
      </x:c>
      <x:c r="T16" s="498" t="str">
        <x:f>IF(OR(R16="",F16="",F16=0),"",R16/F16)</x:f>
      </x:c>
      <x:c r="U16" s="36" t="str">
        <x:f>IF(Hackathons!Z43="","",Hackathons!Z43)</x:f>
        <x:v>Nosana Cloud credit</x:v>
      </x:c>
      <x:c r="V16" s="36" t="str">
        <x:f>IF(Hackathons!AA43="","",Hackathons!AA43)</x:f>
      </x:c>
      <x:c r="W16" s="39" t="str">
        <x:f>IF(Hackathons!AB43="","",Hackathons!AB43)</x:f>
      </x:c>
      <x:c r="X16" s="36" t="str">
        <x:f>IF(Hackathons!AE43="","",Hackathons!AE43)</x:f>
        <x:v>Exclude</x:v>
      </x:c>
      <x:c r="Y16" s="36" t="str">
        <x:f>IF(Hackathons!AF43="","",Hackathons!AF43)</x:f>
        <x:v>Cloud credit, not cash</x:v>
      </x:c>
    </x:row>
    <x:row r="17">
      <x:c r="A17" s="36" t="n">
        <x:f>Hackathons!A51</x:f>
        <x:v>50</x:v>
      </x:c>
      <x:c r="B17" s="36" t="str">
        <x:f>Hackathons!B51</x:f>
        <x:v>Agentfield Hackathon 2026</x:v>
      </x:c>
      <x:c r="C17" s="36" t="str">
        <x:f>Hackathons!AG51</x:f>
        <x:v>1st Place — US$1,000 OpenRouter Credits</x:v>
      </x:c>
      <x:c r="D17" s="36" t="str">
        <x:f>IF(Hackathons!Q51="","",Hackathons!Q51)</x:f>
        <x:v>1st Prize</x:v>
      </x:c>
      <x:c r="E17" s="36" t="str">
        <x:f>IF(Hackathons!R51="","",Hackathons!R51)</x:f>
      </x:c>
      <x:c r="F17" s="39" t="n">
        <x:f>IF(Hackathons!AH51="","",Hackathons!AH51)</x:f>
        <x:v>3</x:v>
      </x:c>
      <x:c r="G17" s="36" t="str">
        <x:f>IF(Hackathons!AI51="","",Hackathons!AI51)</x:f>
        <x:v>Per Team</x:v>
      </x:c>
      <x:c r="H17" s="40" t="str">
        <x:f>IF(Hackathons!S51="","",IF(G17="Per Team Member",Hackathons!S51*F17,Hackathons!S51))</x:f>
      </x:c>
      <x:c r="I17" s="36" t="str">
        <x:f>IF(Hackathons!T51="","",Hackathons!T51)</x:f>
      </x:c>
      <x:c r="J17" s="498" t="str">
        <x:f>IF(OR(H17="",F17=""),"",H17/F17)</x:f>
      </x:c>
      <x:c r="K17" s="40" t="n">
        <x:f>IF(Hackathons!U51="","",IF(G17="Per Team Member",Hackathons!U51*F17,Hackathons!U51))</x:f>
        <x:v>1000</x:v>
      </x:c>
      <x:c r="L17" s="36" t="str">
        <x:f>IF(Hackathons!V51="","",Hackathons!V51)</x:f>
        <x:v>USD</x:v>
      </x:c>
      <x:c r="M17" s="498" t="n">
        <x:f>IF(OR(K17="",F17=""),"",K17/F17)</x:f>
        <x:v>333.3333333333333</x:v>
      </x:c>
      <x:c r="N17" s="39" t="str">
        <x:f>IF(Hackathons!W51="","",IF(G17="Per Team Member",Hackathons!W51*F17,Hackathons!W51))</x:f>
      </x:c>
      <x:c r="O17" s="40" t="str">
        <x:f>IF(Hackathons!X51="","",IF(G17="Per Team Member",Hackathons!X51*F17,Hackathons!X51))</x:f>
      </x:c>
      <x:c r="P17" s="36" t="str">
        <x:f>IF(Hackathons!Y51="","",Hackathons!Y51)</x:f>
      </x:c>
      <x:c r="Q17" s="498" t="str">
        <x:f>IF(OR(O17="",F17=""),"",O17/F17)</x:f>
      </x:c>
      <x:c r="R17" s="40" t="str">
        <x:f>IF(Hackathons!AC51="","",IF(G17="Per Team Member",Hackathons!AC51*F17,Hackathons!AC51))</x:f>
      </x:c>
      <x:c r="S17" s="36" t="str">
        <x:f>IF(Hackathons!AD51="","",Hackathons!AD51)</x:f>
      </x:c>
      <x:c r="T17" s="498" t="str">
        <x:f>IF(OR(R17="",F17="",F17=0),"",R17/F17)</x:f>
      </x:c>
      <x:c r="U17" s="36" t="str">
        <x:f>IF(Hackathons!Z51="","",Hackathons!Z51)</x:f>
        <x:v>OpenRouter credits</x:v>
      </x:c>
      <x:c r="V17" s="36" t="str">
        <x:f>IF(Hackathons!AA51="","",Hackathons!AA51)</x:f>
      </x:c>
      <x:c r="W17" s="39" t="str">
        <x:f>IF(Hackathons!AB51="","",Hackathons!AB51)</x:f>
      </x:c>
      <x:c r="X17" s="36" t="str">
        <x:f>IF(Hackathons!AE51="","",Hackathons!AE51)</x:f>
        <x:v>Exclude</x:v>
      </x:c>
      <x:c r="Y17" s="36" t="str">
        <x:f>IF(Hackathons!AF51="","",Hackathons!AF51)</x:f>
        <x:v>API credits, not cash</x:v>
      </x:c>
    </x:row>
    <x:row r="18">
      <x:c r="A18" s="36" t="n">
        <x:f>Hackathons!A53</x:f>
        <x:v>52</x:v>
      </x:c>
      <x:c r="B18" s="36" t="str">
        <x:f>Hackathons!B53</x:f>
        <x:v>AgentForce Hackathon 2026</x:v>
      </x:c>
      <x:c r="C18" s="36" t="str">
        <x:f>Hackathons!AG53</x:f>
        <x:v>1st Place — US$500 API Credits</x:v>
      </x:c>
      <x:c r="D18" s="36" t="str">
        <x:f>IF(Hackathons!Q53="","",Hackathons!Q53)</x:f>
        <x:v>1st Prize</x:v>
      </x:c>
      <x:c r="E18" s="36" t="str">
        <x:f>IF(Hackathons!R53="","",Hackathons!R53)</x:f>
      </x:c>
      <x:c r="F18" s="39" t="n">
        <x:f>IF(Hackathons!AH53="","",Hackathons!AH53)</x:f>
        <x:v>3</x:v>
      </x:c>
      <x:c r="G18" s="36" t="str">
        <x:f>IF(Hackathons!AI53="","",Hackathons!AI53)</x:f>
        <x:v>Per Team</x:v>
      </x:c>
      <x:c r="H18" s="40" t="str">
        <x:f>IF(Hackathons!S53="","",IF(G18="Per Team Member",Hackathons!S53*F18,Hackathons!S53))</x:f>
      </x:c>
      <x:c r="I18" s="36" t="str">
        <x:f>IF(Hackathons!T53="","",Hackathons!T53)</x:f>
      </x:c>
      <x:c r="J18" s="498" t="str">
        <x:f>IF(OR(H18="",F18=""),"",H18/F18)</x:f>
      </x:c>
      <x:c r="K18" s="40" t="n">
        <x:f>IF(Hackathons!U53="","",IF(G18="Per Team Member",Hackathons!U53*F18,Hackathons!U53))</x:f>
        <x:v>500</x:v>
      </x:c>
      <x:c r="L18" s="36" t="str">
        <x:f>IF(Hackathons!V53="","",Hackathons!V53)</x:f>
        <x:v>USD</x:v>
      </x:c>
      <x:c r="M18" s="498" t="n">
        <x:f>IF(OR(K18="",F18=""),"",K18/F18)</x:f>
        <x:v>166.66666666666666</x:v>
      </x:c>
      <x:c r="N18" s="39" t="str">
        <x:f>IF(Hackathons!W53="","",IF(G18="Per Team Member",Hackathons!W53*F18,Hackathons!W53))</x:f>
      </x:c>
      <x:c r="O18" s="40" t="str">
        <x:f>IF(Hackathons!X53="","",IF(G18="Per Team Member",Hackathons!X53*F18,Hackathons!X53))</x:f>
      </x:c>
      <x:c r="P18" s="36" t="str">
        <x:f>IF(Hackathons!Y53="","",Hackathons!Y53)</x:f>
      </x:c>
      <x:c r="Q18" s="498" t="str">
        <x:f>IF(OR(O18="",F18=""),"",O18/F18)</x:f>
      </x:c>
      <x:c r="R18" s="40" t="str">
        <x:f>IF(Hackathons!AC53="","",IF(G18="Per Team Member",Hackathons!AC53*F18,Hackathons!AC53))</x:f>
      </x:c>
      <x:c r="S18" s="36" t="str">
        <x:f>IF(Hackathons!AD53="","",Hackathons!AD53)</x:f>
      </x:c>
      <x:c r="T18" s="498" t="str">
        <x:f>IF(OR(R18="",F18="",F18=0),"",R18/F18)</x:f>
      </x:c>
      <x:c r="U18" s="36" t="str">
        <x:f>IF(Hackathons!Z53="","",Hackathons!Z53)</x:f>
        <x:v>API credits</x:v>
      </x:c>
      <x:c r="V18" s="36" t="str">
        <x:f>IF(Hackathons!AA53="","",Hackathons!AA53)</x:f>
      </x:c>
      <x:c r="W18" s="39" t="str">
        <x:f>IF(Hackathons!AB53="","",Hackathons!AB53)</x:f>
      </x:c>
      <x:c r="X18" s="36" t="str">
        <x:f>IF(Hackathons!AE53="","",Hackathons!AE53)</x:f>
        <x:v>Exclude</x:v>
      </x:c>
      <x:c r="Y18" s="36" t="str">
        <x:f>IF(Hackathons!AF53="","",Hackathons!AF53)</x:f>
        <x:v>API credits, not cash</x:v>
      </x:c>
    </x:row>
    <x:row r="19">
      <x:c r="A19" s="36" t="n">
        <x:f>Hackathons!A54</x:f>
        <x:v>53</x:v>
      </x:c>
      <x:c r="B19" s="36" t="str">
        <x:f>Hackathons!B54</x:f>
        <x:v>AgentForce Hackathon 2026</x:v>
      </x:c>
      <x:c r="C19" s="36" t="str">
        <x:f>Hackathons!AG54</x:f>
        <x:v>1st Place — US$500 API Credits</x:v>
      </x:c>
      <x:c r="D19" s="36" t="str">
        <x:f>IF(Hackathons!Q54="","",Hackathons!Q54)</x:f>
        <x:v>1st Prize</x:v>
      </x:c>
      <x:c r="E19" s="36" t="str">
        <x:f>IF(Hackathons!R54="","",Hackathons!R54)</x:f>
      </x:c>
      <x:c r="F19" s="39" t="n">
        <x:f>IF(Hackathons!AH54="","",Hackathons!AH54)</x:f>
        <x:v>3</x:v>
      </x:c>
      <x:c r="G19" s="36" t="str">
        <x:f>IF(Hackathons!AI54="","",Hackathons!AI54)</x:f>
        <x:v>Per Team</x:v>
      </x:c>
      <x:c r="H19" s="40" t="str">
        <x:f>IF(Hackathons!S54="","",IF(G19="Per Team Member",Hackathons!S54*F19,Hackathons!S54))</x:f>
      </x:c>
      <x:c r="I19" s="36" t="str">
        <x:f>IF(Hackathons!T54="","",Hackathons!T54)</x:f>
      </x:c>
      <x:c r="J19" s="498" t="str">
        <x:f>IF(OR(H19="",F19=""),"",H19/F19)</x:f>
      </x:c>
      <x:c r="K19" s="40" t="n">
        <x:f>IF(Hackathons!U54="","",IF(G19="Per Team Member",Hackathons!U54*F19,Hackathons!U54))</x:f>
        <x:v>500</x:v>
      </x:c>
      <x:c r="L19" s="36" t="str">
        <x:f>IF(Hackathons!V54="","",Hackathons!V54)</x:f>
        <x:v>USD</x:v>
      </x:c>
      <x:c r="M19" s="498" t="n">
        <x:f>IF(OR(K19="",F19=""),"",K19/F19)</x:f>
        <x:v>166.66666666666666</x:v>
      </x:c>
      <x:c r="N19" s="39" t="str">
        <x:f>IF(Hackathons!W54="","",IF(G19="Per Team Member",Hackathons!W54*F19,Hackathons!W54))</x:f>
      </x:c>
      <x:c r="O19" s="40" t="str">
        <x:f>IF(Hackathons!X54="","",IF(G19="Per Team Member",Hackathons!X54*F19,Hackathons!X54))</x:f>
      </x:c>
      <x:c r="P19" s="36" t="str">
        <x:f>IF(Hackathons!Y54="","",Hackathons!Y54)</x:f>
      </x:c>
      <x:c r="Q19" s="498" t="str">
        <x:f>IF(OR(O19="",F19=""),"",O19/F19)</x:f>
      </x:c>
      <x:c r="R19" s="40" t="str">
        <x:f>IF(Hackathons!AC54="","",IF(G19="Per Team Member",Hackathons!AC54*F19,Hackathons!AC54))</x:f>
      </x:c>
      <x:c r="S19" s="36" t="str">
        <x:f>IF(Hackathons!AD54="","",Hackathons!AD54)</x:f>
      </x:c>
      <x:c r="T19" s="498" t="str">
        <x:f>IF(OR(R19="",F19="",F19=0),"",R19/F19)</x:f>
      </x:c>
      <x:c r="U19" s="36" t="str">
        <x:f>IF(Hackathons!Z54="","",Hackathons!Z54)</x:f>
        <x:v>API credits</x:v>
      </x:c>
      <x:c r="V19" s="36" t="str">
        <x:f>IF(Hackathons!AA54="","",Hackathons!AA54)</x:f>
      </x:c>
      <x:c r="W19" s="39" t="str">
        <x:f>IF(Hackathons!AB54="","",Hackathons!AB54)</x:f>
      </x:c>
      <x:c r="X19" s="36" t="str">
        <x:f>IF(Hackathons!AE54="","",Hackathons!AE54)</x:f>
        <x:v>Exclude</x:v>
      </x:c>
      <x:c r="Y19" s="36" t="str">
        <x:f>IF(Hackathons!AF54="","",Hackathons!AF54)</x:f>
        <x:v>API credits, not cash</x:v>
      </x:c>
    </x:row>
    <x:row r="20">
      <x:c r="A20" s="36" t="n">
        <x:f>Hackathons!A55</x:f>
        <x:v>54</x:v>
      </x:c>
      <x:c r="B20" s="36" t="str">
        <x:f>Hackathons!B55</x:f>
        <x:v>SUSS X Openclaw Hackathon 2026</x:v>
      </x:c>
      <x:c r="C20" s="36" t="str">
        <x:f>Hackathons!AG55</x:f>
        <x:v>1st Place — US$150 Wavespeed AI Credits</x:v>
      </x:c>
      <x:c r="D20" s="36" t="str">
        <x:f>IF(Hackathons!Q55="","",Hackathons!Q55)</x:f>
        <x:v>1st Prize</x:v>
      </x:c>
      <x:c r="E20" s="36" t="str">
        <x:f>IF(Hackathons!R55="","",Hackathons!R55)</x:f>
      </x:c>
      <x:c r="F20" s="39" t="n">
        <x:f>IF(Hackathons!AH55="","",Hackathons!AH55)</x:f>
        <x:v>3</x:v>
      </x:c>
      <x:c r="G20" s="36" t="str">
        <x:f>IF(Hackathons!AI55="","",Hackathons!AI55)</x:f>
        <x:v>Per Team</x:v>
      </x:c>
      <x:c r="H20" s="40" t="str">
        <x:f>IF(Hackathons!S55="","",IF(G20="Per Team Member",Hackathons!S55*F20,Hackathons!S55))</x:f>
      </x:c>
      <x:c r="I20" s="36" t="str">
        <x:f>IF(Hackathons!T55="","",Hackathons!T55)</x:f>
      </x:c>
      <x:c r="J20" s="498" t="str">
        <x:f>IF(OR(H20="",F20=""),"",H20/F20)</x:f>
      </x:c>
      <x:c r="K20" s="40" t="n">
        <x:f>IF(Hackathons!U55="","",IF(G20="Per Team Member",Hackathons!U55*F20,Hackathons!U55))</x:f>
        <x:v>150</x:v>
      </x:c>
      <x:c r="L20" s="36" t="str">
        <x:f>IF(Hackathons!V55="","",Hackathons!V55)</x:f>
        <x:v>USD</x:v>
      </x:c>
      <x:c r="M20" s="498" t="n">
        <x:f>IF(OR(K20="",F20=""),"",K20/F20)</x:f>
        <x:v>50</x:v>
      </x:c>
      <x:c r="N20" s="39" t="str">
        <x:f>IF(Hackathons!W55="","",IF(G20="Per Team Member",Hackathons!W55*F20,Hackathons!W55))</x:f>
      </x:c>
      <x:c r="O20" s="40" t="str">
        <x:f>IF(Hackathons!X55="","",IF(G20="Per Team Member",Hackathons!X55*F20,Hackathons!X55))</x:f>
      </x:c>
      <x:c r="P20" s="36" t="str">
        <x:f>IF(Hackathons!Y55="","",Hackathons!Y55)</x:f>
      </x:c>
      <x:c r="Q20" s="498" t="str">
        <x:f>IF(OR(O20="",F20=""),"",O20/F20)</x:f>
      </x:c>
      <x:c r="R20" s="40" t="str">
        <x:f>IF(Hackathons!AC55="","",IF(G20="Per Team Member",Hackathons!AC55*F20,Hackathons!AC55))</x:f>
      </x:c>
      <x:c r="S20" s="36" t="str">
        <x:f>IF(Hackathons!AD55="","",Hackathons!AD55)</x:f>
      </x:c>
      <x:c r="T20" s="498" t="str">
        <x:f>IF(OR(R20="",F20="",F20=0),"",R20/F20)</x:f>
      </x:c>
      <x:c r="U20" s="36" t="str">
        <x:f>IF(Hackathons!Z55="","",Hackathons!Z55)</x:f>
        <x:v>Wavespeed AI credits</x:v>
      </x:c>
      <x:c r="V20" s="36" t="str">
        <x:f>IF(Hackathons!AA55="","",Hackathons!AA55)</x:f>
      </x:c>
      <x:c r="W20" s="39" t="str">
        <x:f>IF(Hackathons!AB55="","",Hackathons!AB55)</x:f>
      </x:c>
      <x:c r="X20" s="36" t="str">
        <x:f>IF(Hackathons!AE55="","",Hackathons!AE55)</x:f>
        <x:v>Exclude</x:v>
      </x:c>
      <x:c r="Y20" s="36" t="str">
        <x:f>IF(Hackathons!AF55="","",Hackathons!AF55)</x:f>
        <x:v>API credits, not cash</x:v>
      </x:c>
    </x:row>
    <x:row r="21">
      <x:c r="A21" s="36" t="n">
        <x:f>Hackathons!A58</x:f>
        <x:v>57</x:v>
      </x:c>
      <x:c r="B21" s="36" t="str">
        <x:f>Hackathons!B58</x:f>
        <x:v>Agora.io Voice AI Hackathon Singapore 2026</x:v>
      </x:c>
      <x:c r="C21" s="36" t="str">
        <x:f>Hackathons!AG58</x:f>
        <x:v>3rd Place — S$300 Cash + S$385 API Credits</x:v>
      </x:c>
      <x:c r="D21" s="36" t="str">
        <x:f>IF(Hackathons!Q58="","",Hackathons!Q58)</x:f>
        <x:v>3rd Prize</x:v>
      </x:c>
      <x:c r="E21" s="36" t="str">
        <x:f>IF(Hackathons!R58="","",Hackathons!R58)</x:f>
      </x:c>
      <x:c r="F21" s="39" t="n">
        <x:f>IF(Hackathons!AH58="","",Hackathons!AH58)</x:f>
        <x:v>1</x:v>
      </x:c>
      <x:c r="G21" s="36" t="str">
        <x:f>IF(Hackathons!AI58="","",Hackathons!AI58)</x:f>
        <x:v>Per Team</x:v>
      </x:c>
      <x:c r="H21" s="40" t="n">
        <x:f>IF(Hackathons!S58="","",IF(G21="Per Team Member",Hackathons!S58*F21,Hackathons!S58))</x:f>
        <x:v>300</x:v>
      </x:c>
      <x:c r="I21" s="36" t="str">
        <x:f>IF(Hackathons!T58="","",Hackathons!T58)</x:f>
        <x:v>SGD</x:v>
      </x:c>
      <x:c r="J21" s="498" t="n">
        <x:f>IF(OR(H21="",F21=""),"",H21/F21)</x:f>
        <x:v>300</x:v>
      </x:c>
      <x:c r="K21" s="40" t="n">
        <x:f>IF(Hackathons!U58="","",IF(G21="Per Team Member",Hackathons!U58*F21,Hackathons!U58))</x:f>
        <x:v>385</x:v>
      </x:c>
      <x:c r="L21" s="36" t="str">
        <x:f>IF(Hackathons!V58="","",Hackathons!V58)</x:f>
        <x:v>SGD</x:v>
      </x:c>
      <x:c r="M21" s="498" t="n">
        <x:f>IF(OR(K21="",F21=""),"",K21/F21)</x:f>
        <x:v>385</x:v>
      </x:c>
      <x:c r="N21" s="39" t="str">
        <x:f>IF(Hackathons!W58="","",IF(G21="Per Team Member",Hackathons!W58*F21,Hackathons!W58))</x:f>
      </x:c>
      <x:c r="O21" s="40" t="str">
        <x:f>IF(Hackathons!X58="","",IF(G21="Per Team Member",Hackathons!X58*F21,Hackathons!X58))</x:f>
      </x:c>
      <x:c r="P21" s="36" t="str">
        <x:f>IF(Hackathons!Y58="","",Hackathons!Y58)</x:f>
      </x:c>
      <x:c r="Q21" s="498" t="str">
        <x:f>IF(OR(O21="",F21=""),"",O21/F21)</x:f>
      </x:c>
      <x:c r="R21" s="40" t="str">
        <x:f>IF(Hackathons!AC58="","",IF(G21="Per Team Member",Hackathons!AC58*F21,Hackathons!AC58))</x:f>
      </x:c>
      <x:c r="S21" s="36" t="str">
        <x:f>IF(Hackathons!AD58="","",Hackathons!AD58)</x:f>
      </x:c>
      <x:c r="T21" s="498" t="str">
        <x:f>IF(OR(R21="",F21="",F21=0),"",R21/F21)</x:f>
      </x:c>
      <x:c r="U21" s="36" t="str">
        <x:f>IF(Hackathons!Z58="","",Hackathons!Z58)</x:f>
        <x:v>API credits</x:v>
      </x:c>
      <x:c r="V21" s="36" t="str">
        <x:f>IF(Hackathons!AA58="","",Hackathons!AA58)</x:f>
      </x:c>
      <x:c r="W21" s="39" t="str">
        <x:f>IF(Hackathons!AB58="","",Hackathons!AB58)</x:f>
      </x:c>
      <x:c r="X21" s="36" t="str">
        <x:f>IF(Hackathons!AE58="","",Hackathons!AE58)</x:f>
        <x:v>Yes</x:v>
      </x:c>
      <x:c r="Y21" s="36" t="str">
        <x:f>IF(Hackathons!AF58="","",Hackathons!AF58)</x:f>
        <x:v>Explicit cash; API credit value also tracked</x:v>
      </x:c>
    </x:row>
    <x:row r="22">
      <x:c r="A22" s="36" t="n">
        <x:f>Hackathons!A61</x:f>
        <x:v>60</x:v>
      </x:c>
      <x:c r="B22" s="36" t="str">
        <x:f>Hackathons!B61</x:f>
        <x:v>Build Voice Agents with Speechmatics | TGB Buildathon 2026</x:v>
      </x:c>
      <x:c r="C22" s="36" t="str">
        <x:f>Hackathons!AG61</x:f>
        <x:v>Award — Speechmatics — US$2,000 Speechmatics Credits</x:v>
      </x:c>
      <x:c r="D22" s="36" t="str">
        <x:f>IF(Hackathons!Q61="","",Hackathons!Q61)</x:f>
        <x:v>Award</x:v>
      </x:c>
      <x:c r="E22" s="36" t="str">
        <x:f>IF(Hackathons!R61="","",Hackathons!R61)</x:f>
        <x:v>Speechmatics</x:v>
      </x:c>
      <x:c r="F22" s="39" t="n">
        <x:f>IF(Hackathons!AH61="","",Hackathons!AH61)</x:f>
        <x:v>1</x:v>
      </x:c>
      <x:c r="G22" s="36" t="str">
        <x:f>IF(Hackathons!AI61="","",Hackathons!AI61)</x:f>
        <x:v>Per Team</x:v>
      </x:c>
      <x:c r="H22" s="40" t="str">
        <x:f>IF(Hackathons!S61="","",IF(G22="Per Team Member",Hackathons!S61*F22,Hackathons!S61))</x:f>
      </x:c>
      <x:c r="I22" s="36" t="str">
        <x:f>IF(Hackathons!T61="","",Hackathons!T61)</x:f>
      </x:c>
      <x:c r="J22" s="498" t="str">
        <x:f>IF(OR(H22="",F22=""),"",H22/F22)</x:f>
      </x:c>
      <x:c r="K22" s="40" t="n">
        <x:f>IF(Hackathons!U61="","",IF(G22="Per Team Member",Hackathons!U61*F22,Hackathons!U61))</x:f>
        <x:v>2000</x:v>
      </x:c>
      <x:c r="L22" s="36" t="str">
        <x:f>IF(Hackathons!V61="","",Hackathons!V61)</x:f>
        <x:v>USD</x:v>
      </x:c>
      <x:c r="M22" s="498" t="n">
        <x:f>IF(OR(K22="",F22=""),"",K22/F22)</x:f>
        <x:v>2000</x:v>
      </x:c>
      <x:c r="N22" s="39" t="str">
        <x:f>IF(Hackathons!W61="","",IF(G22="Per Team Member",Hackathons!W61*F22,Hackathons!W61))</x:f>
      </x:c>
      <x:c r="O22" s="40" t="str">
        <x:f>IF(Hackathons!X61="","",IF(G22="Per Team Member",Hackathons!X61*F22,Hackathons!X61))</x:f>
      </x:c>
      <x:c r="P22" s="36" t="str">
        <x:f>IF(Hackathons!Y61="","",Hackathons!Y61)</x:f>
      </x:c>
      <x:c r="Q22" s="498" t="str">
        <x:f>IF(OR(O22="",F22=""),"",O22/F22)</x:f>
      </x:c>
      <x:c r="R22" s="40" t="str">
        <x:f>IF(Hackathons!AC61="","",IF(G22="Per Team Member",Hackathons!AC61*F22,Hackathons!AC61))</x:f>
      </x:c>
      <x:c r="S22" s="36" t="str">
        <x:f>IF(Hackathons!AD61="","",Hackathons!AD61)</x:f>
      </x:c>
      <x:c r="T22" s="498" t="str">
        <x:f>IF(OR(R22="",F22="",F22=0),"",R22/F22)</x:f>
      </x:c>
      <x:c r="U22" s="36" t="str">
        <x:f>IF(Hackathons!Z61="","",Hackathons!Z61)</x:f>
        <x:v>Speechmatics credits</x:v>
      </x:c>
      <x:c r="V22" s="36" t="str">
        <x:f>IF(Hackathons!AA61="","",Hackathons!AA61)</x:f>
      </x:c>
      <x:c r="W22" s="39" t="str">
        <x:f>IF(Hackathons!AB61="","",Hackathons!AB61)</x:f>
      </x:c>
      <x:c r="X22" s="36" t="str">
        <x:f>IF(Hackathons!AE61="","",Hackathons!AE61)</x:f>
        <x:v>Exclude</x:v>
      </x:c>
      <x:c r="Y22" s="36" t="str">
        <x:f>IF(Hackathons!AF61="","",Hackathons!AF61)</x:f>
        <x:v>USD-denominated credit value</x:v>
      </x:c>
    </x:row>
    <x:row r="23">
      <x:c r="A23" s="36" t="n">
        <x:f>Hackathons!A62</x:f>
        <x:v>61</x:v>
      </x:c>
      <x:c r="B23" s="36" t="str">
        <x:f>Hackathons!B62</x:f>
        <x:v>Vercel Zero to Agent: Singapore (1 Hr Hackathon) 2026</x:v>
      </x:c>
      <x:c r="C23" s="36" t="str">
        <x:f>Hackathons!AG62</x:f>
        <x:v>2nd Place — v0 Sock</x:v>
      </x:c>
      <x:c r="D23" s="36" t="str">
        <x:f>IF(Hackathons!Q62="","",Hackathons!Q62)</x:f>
        <x:v>2nd Place</x:v>
      </x:c>
      <x:c r="E23" s="36" t="str">
        <x:f>IF(Hackathons!R62="","",Hackathons!R62)</x:f>
        <x:v>v0 Sock</x:v>
      </x:c>
      <x:c r="F23" s="39" t="n">
        <x:f>IF(Hackathons!AH62="","",Hackathons!AH62)</x:f>
        <x:v>1</x:v>
      </x:c>
      <x:c r="G23" s="36" t="str">
        <x:f>IF(Hackathons!AI62="","",Hackathons!AI62)</x:f>
        <x:v>Per Team</x:v>
      </x:c>
      <x:c r="H23" s="40" t="str">
        <x:f>IF(Hackathons!S62="","",IF(G23="Per Team Member",Hackathons!S62*F23,Hackathons!S62))</x:f>
      </x:c>
      <x:c r="I23" s="36" t="str">
        <x:f>IF(Hackathons!T62="","",Hackathons!T62)</x:f>
      </x:c>
      <x:c r="J23" s="498" t="str">
        <x:f>IF(OR(H23="",F23=""),"",H23/F23)</x:f>
      </x:c>
      <x:c r="K23" s="40" t="str">
        <x:f>IF(Hackathons!U62="","",IF(G23="Per Team Member",Hackathons!U62*F23,Hackathons!U62))</x:f>
      </x:c>
      <x:c r="L23" s="36" t="str">
        <x:f>IF(Hackathons!V62="","",Hackathons!V62)</x:f>
      </x:c>
      <x:c r="M23" s="498" t="str">
        <x:f>IF(OR(K23="",F23=""),"",K23/F23)</x:f>
      </x:c>
      <x:c r="N23" s="39" t="str">
        <x:f>IF(Hackathons!W62="","",IF(G23="Per Team Member",Hackathons!W62*F23,Hackathons!W62))</x:f>
      </x:c>
      <x:c r="O23" s="40" t="str">
        <x:f>IF(Hackathons!X62="","",IF(G23="Per Team Member",Hackathons!X62*F23,Hackathons!X62))</x:f>
      </x:c>
      <x:c r="P23" s="36" t="str">
        <x:f>IF(Hackathons!Y62="","",Hackathons!Y62)</x:f>
      </x:c>
      <x:c r="Q23" s="498" t="str">
        <x:f>IF(OR(O23="",F23=""),"",O23/F23)</x:f>
      </x:c>
      <x:c r="R23" s="40" t="str">
        <x:f>IF(Hackathons!AC62="","",IF(G23="Per Team Member",Hackathons!AC62*F23,Hackathons!AC62))</x:f>
      </x:c>
      <x:c r="S23" s="36" t="str">
        <x:f>IF(Hackathons!AD62="","",Hackathons!AD62)</x:f>
      </x:c>
      <x:c r="T23" s="498" t="str">
        <x:f>IF(OR(R23="",F23="",F23=0),"",R23/F23)</x:f>
      </x:c>
      <x:c r="U23" s="36" t="str">
        <x:f>IF(Hackathons!Z62="","",Hackathons!Z62)</x:f>
        <x:v>v0 Sock</x:v>
      </x:c>
      <x:c r="V23" s="36" t="str">
        <x:f>IF(Hackathons!AA62="","",Hackathons!AA62)</x:f>
        <x:v>v0 Sock</x:v>
      </x:c>
      <x:c r="W23" s="39" t="str">
        <x:f>IF(Hackathons!AB62="","",Hackathons!AB62)</x:f>
      </x:c>
      <x:c r="X23" s="36" t="str">
        <x:f>IF(Hackathons!AE62="","",Hackathons!AE62)</x:f>
        <x:v>Exclude</x:v>
      </x:c>
      <x:c r="Y23" s="36" t="str">
        <x:f>IF(Hackathons!AF62="","",Hackathons!AF62)</x:f>
        <x:v>Physical item, not cash</x:v>
      </x:c>
    </x:row>
    <x:row r="24">
      <x:c r="A24" s="36" t="n">
        <x:f>Hackathons!A67</x:f>
        <x:v>66</x:v>
      </x:c>
      <x:c r="B24" s="36" t="str">
        <x:f>Hackathons!B67</x:f>
        <x:v>UCWS 2026 (Semi-Finals)</x:v>
      </x:c>
      <x:c r="C24" s="36" t="str">
        <x:f>Hackathons!AG67</x:f>
        <x:v>Top 20 — US$12,000 Credits (OpenAI + Gemini Cloud)</x:v>
      </x:c>
      <x:c r="D24" s="36" t="str">
        <x:f>IF(Hackathons!Q67="","",Hackathons!Q67)</x:f>
        <x:v>Top 20</x:v>
      </x:c>
      <x:c r="E24" s="36" t="str">
        <x:f>IF(Hackathons!R67="","",Hackathons!R67)</x:f>
      </x:c>
      <x:c r="F24" s="39" t="n">
        <x:f>IF(Hackathons!AH67="","",Hackathons!AH67)</x:f>
        <x:v>2</x:v>
      </x:c>
      <x:c r="G24" s="36" t="str">
        <x:f>IF(Hackathons!AI67="","",Hackathons!AI67)</x:f>
        <x:v>Per Team</x:v>
      </x:c>
      <x:c r="H24" s="40" t="str">
        <x:f>IF(Hackathons!S67="","",IF(G24="Per Team Member",Hackathons!S67*F24,Hackathons!S67))</x:f>
      </x:c>
      <x:c r="I24" s="36" t="str">
        <x:f>IF(Hackathons!T67="","",Hackathons!T67)</x:f>
      </x:c>
      <x:c r="J24" s="498" t="str">
        <x:f>IF(OR(H24="",F24=""),"",H24/F24)</x:f>
      </x:c>
      <x:c r="K24" s="40" t="n">
        <x:f>IF(Hackathons!U67="","",IF(G24="Per Team Member",Hackathons!U67*F24,Hackathons!U67))</x:f>
        <x:v>12000</x:v>
      </x:c>
      <x:c r="L24" s="36" t="str">
        <x:f>IF(Hackathons!V67="","",Hackathons!V67)</x:f>
        <x:v>USD</x:v>
      </x:c>
      <x:c r="M24" s="498" t="n">
        <x:f>IF(OR(K24="",F24=""),"",K24/F24)</x:f>
        <x:v>6000</x:v>
      </x:c>
      <x:c r="N24" s="39" t="str">
        <x:f>IF(Hackathons!W67="","",IF(G24="Per Team Member",Hackathons!W67*F24,Hackathons!W67))</x:f>
      </x:c>
      <x:c r="O24" s="40" t="str">
        <x:f>IF(Hackathons!X67="","",IF(G24="Per Team Member",Hackathons!X67*F24,Hackathons!X67))</x:f>
      </x:c>
      <x:c r="P24" s="36" t="str">
        <x:f>IF(Hackathons!Y67="","",Hackathons!Y67)</x:f>
      </x:c>
      <x:c r="Q24" s="498" t="str">
        <x:f>IF(OR(O24="",F24=""),"",O24/F24)</x:f>
      </x:c>
      <x:c r="R24" s="40" t="str">
        <x:f>IF(Hackathons!AC67="","",IF(G24="Per Team Member",Hackathons!AC67*F24,Hackathons!AC67))</x:f>
      </x:c>
      <x:c r="S24" s="36" t="str">
        <x:f>IF(Hackathons!AD67="","",Hackathons!AD67)</x:f>
      </x:c>
      <x:c r="T24" s="498" t="str">
        <x:f>IF(OR(R24="",F24="",F24=0),"",R24/F24)</x:f>
      </x:c>
      <x:c r="U24" s="36" t="str">
        <x:f>IF(Hackathons!Z67="","",Hackathons!Z67)</x:f>
        <x:v>10K OpenAI credits; 2K Gemini Cloud credits</x:v>
      </x:c>
      <x:c r="V24" s="36" t="str">
        <x:f>IF(Hackathons!AA67="","",Hackathons!AA67)</x:f>
      </x:c>
      <x:c r="W24" s="39" t="str">
        <x:f>IF(Hackathons!AB67="","",Hackathons!AB67)</x:f>
      </x:c>
      <x:c r="X24" s="36" t="str">
        <x:f>IF(Hackathons!AE67="","",Hackathons!AE67)</x:f>
        <x:v>Exclude</x:v>
      </x:c>
      <x:c r="Y24" s="36" t="str">
        <x:f>IF(Hackathons!AF67="","",Hackathons!AF67)</x:f>
        <x:v>Credit value total combines two USD-denominated credits</x:v>
      </x:c>
    </x:row>
    <x:row r="25">
      <x:c r="A25" s="36" t="n">
        <x:f>Hackathons!A72</x:f>
        <x:v>71</x:v>
      </x:c>
      <x:c r="B25" s="36" t="str">
        <x:f>Hackathons!B72</x:f>
        <x:v>BUIDL_OPC_Hackathon_SG</x:v>
      </x:c>
      <x:c r="C25" s="36" t="str">
        <x:f>Hackathons!AG72</x:f>
        <x:v>Top 30 — US$4,500 AWS Credits</x:v>
      </x:c>
      <x:c r="D25" s="36" t="str">
        <x:f>IF(Hackathons!Q72="","",Hackathons!Q72)</x:f>
        <x:v>Top 30</x:v>
      </x:c>
      <x:c r="E25" s="36" t="str">
        <x:f>IF(Hackathons!R72="","",Hackathons!R72)</x:f>
      </x:c>
      <x:c r="F25" s="39" t="n">
        <x:f>IF(Hackathons!AH72="","",Hackathons!AH72)</x:f>
        <x:v>2</x:v>
      </x:c>
      <x:c r="G25" s="36" t="str">
        <x:f>IF(Hackathons!AI72="","",Hackathons!AI72)</x:f>
        <x:v>Per Team</x:v>
      </x:c>
      <x:c r="H25" s="40" t="str">
        <x:f>IF(Hackathons!S72="","",IF(G25="Per Team Member",Hackathons!S72*F25,Hackathons!S72))</x:f>
      </x:c>
      <x:c r="I25" s="36" t="str">
        <x:f>IF(Hackathons!T72="","",Hackathons!T72)</x:f>
      </x:c>
      <x:c r="J25" s="498" t="str">
        <x:f>IF(OR(H25="",F25=""),"",H25/F25)</x:f>
      </x:c>
      <x:c r="K25" s="40" t="n">
        <x:f>IF(Hackathons!U72="","",IF(G25="Per Team Member",Hackathons!U72*F25,Hackathons!U72))</x:f>
        <x:v>4500</x:v>
      </x:c>
      <x:c r="L25" s="36" t="str">
        <x:f>IF(Hackathons!V72="","",Hackathons!V72)</x:f>
        <x:v>USD</x:v>
      </x:c>
      <x:c r="M25" s="498" t="n">
        <x:f>IF(OR(K25="",F25=""),"",K25/F25)</x:f>
        <x:v>2250</x:v>
      </x:c>
      <x:c r="N25" s="39" t="str">
        <x:f>IF(Hackathons!W72="","",IF(G25="Per Team Member",Hackathons!W72*F25,Hackathons!W72))</x:f>
      </x:c>
      <x:c r="O25" s="40" t="str">
        <x:f>IF(Hackathons!X72="","",IF(G25="Per Team Member",Hackathons!X72*F25,Hackathons!X72))</x:f>
      </x:c>
      <x:c r="P25" s="36" t="str">
        <x:f>IF(Hackathons!Y72="","",Hackathons!Y72)</x:f>
      </x:c>
      <x:c r="Q25" s="498" t="str">
        <x:f>IF(OR(O25="",F25=""),"",O25/F25)</x:f>
      </x:c>
      <x:c r="R25" s="40" t="str">
        <x:f>IF(Hackathons!AC72="","",IF(G25="Per Team Member",Hackathons!AC72*F25,Hackathons!AC72))</x:f>
      </x:c>
      <x:c r="S25" s="36" t="str">
        <x:f>IF(Hackathons!AD72="","",Hackathons!AD72)</x:f>
      </x:c>
      <x:c r="T25" s="498" t="str">
        <x:f>IF(OR(R25="",F25="",F25=0),"",R25/F25)</x:f>
      </x:c>
      <x:c r="U25" s="36" t="str">
        <x:f>IF(Hackathons!Z72="","",Hackathons!Z72)</x:f>
        <x:v>AWS credits</x:v>
      </x:c>
      <x:c r="V25" s="36" t="str">
        <x:f>IF(Hackathons!AA72="","",Hackathons!AA72)</x:f>
      </x:c>
      <x:c r="W25" s="39" t="str">
        <x:f>IF(Hackathons!AB72="","",Hackathons!AB72)</x:f>
      </x:c>
      <x:c r="X25" s="36" t="str">
        <x:f>IF(Hackathons!AE72="","",Hackathons!AE72)</x:f>
        <x:v>Exclude</x:v>
      </x:c>
      <x:c r="Y25" s="36" t="str">
        <x:f>IF(Hackathons!AF72="","",Hackathons!AF72)</x:f>
        <x:v>USD-denominated credit value</x:v>
      </x:c>
    </x:row>
    <x:row r="26">
      <x:c r="A26" s="36" t="n">
        <x:f>Hackathons!A76</x:f>
        <x:v>75</x:v>
      </x:c>
      <x:c r="B26" s="36" t="str">
        <x:f>Hackathons!B76</x:f>
        <x:v>One AI Hackathon 2026</x:v>
      </x:c>
      <x:c r="C26" s="36" t="str">
        <x:f>Hackathons!AG76</x:f>
        <x:v>Best Project — Best Vertical Solution: Family Office Track — 2,000 Cybrdeck API Credits Each (US$25 value)</x:v>
      </x:c>
      <x:c r="D26" s="36" t="str">
        <x:f>IF(Hackathons!Q76="","",Hackathons!Q76)</x:f>
        <x:v>Best Project</x:v>
      </x:c>
      <x:c r="E26" s="36" t="str">
        <x:f>IF(Hackathons!R76="","",Hackathons!R76)</x:f>
        <x:v>Best Vertical Solution: Family Office Track</x:v>
      </x:c>
      <x:c r="F26" s="39" t="n">
        <x:f>IF(Hackathons!AH76="","",Hackathons!AH76)</x:f>
        <x:v>2</x:v>
      </x:c>
      <x:c r="G26" s="36" t="str">
        <x:f>IF(Hackathons!AI76="","",Hackathons!AI76)</x:f>
        <x:v>Per Team Member</x:v>
      </x:c>
      <x:c r="H26" s="40" t="str">
        <x:f>IF(Hackathons!S76="","",IF(G26="Per Team Member",Hackathons!S76*F26,Hackathons!S76))</x:f>
      </x:c>
      <x:c r="I26" s="36" t="str">
        <x:f>IF(Hackathons!T76="","",Hackathons!T76)</x:f>
      </x:c>
      <x:c r="J26" s="498" t="str">
        <x:f>IF(OR(H26="",F26=""),"",H26/F26)</x:f>
      </x:c>
      <x:c r="K26" s="40" t="n">
        <x:f>IF(Hackathons!U76="","",IF(G26="Per Team Member",Hackathons!U76*F26,Hackathons!U76))</x:f>
        <x:v>50</x:v>
      </x:c>
      <x:c r="L26" s="36" t="str">
        <x:f>IF(Hackathons!V76="","",Hackathons!V76)</x:f>
        <x:v>USD</x:v>
      </x:c>
      <x:c r="M26" s="498" t="n">
        <x:f>IF(OR(K26="",F26=""),"",K26/F26)</x:f>
        <x:v>25</x:v>
      </x:c>
      <x:c r="N26" s="39" t="str">
        <x:f>IF(Hackathons!W76="","",IF(G26="Per Team Member",Hackathons!W76*F26,Hackathons!W76))</x:f>
      </x:c>
      <x:c r="O26" s="40" t="str">
        <x:f>IF(Hackathons!X76="","",IF(G26="Per Team Member",Hackathons!X76*F26,Hackathons!X76))</x:f>
      </x:c>
      <x:c r="P26" s="36" t="str">
        <x:f>IF(Hackathons!Y76="","",Hackathons!Y76)</x:f>
      </x:c>
      <x:c r="Q26" s="498" t="str">
        <x:f>IF(OR(O26="",F26=""),"",O26/F26)</x:f>
      </x:c>
      <x:c r="R26" s="40" t="str">
        <x:f>IF(Hackathons!AC76="","",IF(G26="Per Team Member",Hackathons!AC76*F26,Hackathons!AC76))</x:f>
      </x:c>
      <x:c r="S26" s="36" t="str">
        <x:f>IF(Hackathons!AD76="","",Hackathons!AD76)</x:f>
      </x:c>
      <x:c r="T26" s="498" t="str">
        <x:f>IF(OR(R26="",F26="",F26=0),"",R26/F26)</x:f>
      </x:c>
      <x:c r="U26" s="36" t="str">
        <x:f>IF(Hackathons!Z76="","",Hackathons!Z76)</x:f>
        <x:v>2,000 Cybrdeck API credits</x:v>
      </x:c>
      <x:c r="V26" s="36" t="str">
        <x:f>IF(Hackathons!AA76="","",Hackathons!AA76)</x:f>
      </x:c>
      <x:c r="W26" s="39" t="str">
        <x:f>IF(Hackathons!AB76="","",Hackathons!AB76)</x:f>
      </x:c>
      <x:c r="X26" s="36" t="str">
        <x:f>IF(Hackathons!AE76="","",Hackathons!AE76)</x:f>
        <x:v>Exclude</x:v>
      </x:c>
      <x:c r="Y26" s="36" t="str">
        <x:f>IF(Hackathons!AF76="","",Hackathons!AF76)</x:f>
        <x:v>US$25 credit value, not cash</x:v>
      </x:c>
    </x:row>
    <x:row r="27">
      <x:c r="A27" s="36" t="n">
        <x:f>Hackathons!A80</x:f>
        <x:v>79</x:v>
      </x:c>
      <x:c r="B27" s="36" t="str">
        <x:f>Hackathons!B80</x:f>
        <x:v>SG × SWK Friendship AI Business Design Hackathon</x:v>
      </x:c>
      <x:c r="C27" s="36" t="str">
        <x:f>Hackathons!AG80</x:f>
        <x:v>First Runner-Up — SG × Sarawak AI &amp; Design Hackathon — US$200 Kimi AI Credits + Trophy</x:v>
      </x:c>
      <x:c r="D27" s="36" t="str">
        <x:f>IF(Hackathons!Q80="","",Hackathons!Q80)</x:f>
        <x:v>First Runner-Up</x:v>
      </x:c>
      <x:c r="E27" s="36" t="str">
        <x:f>IF(Hackathons!R80="","",Hackathons!R80)</x:f>
        <x:v>SG × Sarawak AI &amp; Design Hackathon 2026</x:v>
      </x:c>
      <x:c r="F27" s="39" t="n">
        <x:f>IF(Hackathons!AH80="","",Hackathons!AH80)</x:f>
        <x:v>3</x:v>
      </x:c>
      <x:c r="G27" s="36" t="str">
        <x:f>IF(Hackathons!AI80="","",Hackathons!AI80)</x:f>
        <x:v>Per Team</x:v>
      </x:c>
      <x:c r="H27" s="40" t="str">
        <x:f>IF(Hackathons!S80="","",IF(G27="Per Team Member",Hackathons!S80*F27,Hackathons!S80))</x:f>
      </x:c>
      <x:c r="I27" s="36" t="str">
        <x:f>IF(Hackathons!T80="","",Hackathons!T80)</x:f>
      </x:c>
      <x:c r="J27" s="498" t="str">
        <x:f>IF(OR(H27="",F27=""),"",H27/F27)</x:f>
      </x:c>
      <x:c r="K27" s="40" t="n">
        <x:f>IF(Hackathons!U80="","",IF(G27="Per Team Member",Hackathons!U80*F27,Hackathons!U80))</x:f>
        <x:v>200</x:v>
      </x:c>
      <x:c r="L27" s="36" t="str">
        <x:f>IF(Hackathons!V80="","",Hackathons!V80)</x:f>
        <x:v>USD</x:v>
      </x:c>
      <x:c r="M27" s="498" t="n">
        <x:f>IF(OR(K27="",F27=""),"",K27/F27)</x:f>
        <x:v>66.66666666666667</x:v>
      </x:c>
      <x:c r="N27" s="39" t="str">
        <x:f>IF(Hackathons!W80="","",IF(G27="Per Team Member",Hackathons!W80*F27,Hackathons!W80))</x:f>
      </x:c>
      <x:c r="O27" s="40" t="str">
        <x:f>IF(Hackathons!X80="","",IF(G27="Per Team Member",Hackathons!X80*F27,Hackathons!X80))</x:f>
      </x:c>
      <x:c r="P27" s="36" t="str">
        <x:f>IF(Hackathons!Y80="","",Hackathons!Y80)</x:f>
      </x:c>
      <x:c r="Q27" s="498" t="str">
        <x:f>IF(OR(O27="",F27=""),"",O27/F27)</x:f>
      </x:c>
      <x:c r="R27" s="40" t="str">
        <x:f>IF(Hackathons!AC80="","",IF(G27="Per Team Member",Hackathons!AC80*F27,Hackathons!AC80))</x:f>
      </x:c>
      <x:c r="S27" s="36" t="str">
        <x:f>IF(Hackathons!AD80="","",Hackathons!AD80)</x:f>
      </x:c>
      <x:c r="T27" s="498" t="str">
        <x:f>IF(OR(R27="",F27="",F27=0),"",R27/F27)</x:f>
      </x:c>
      <x:c r="U27" s="36" t="str">
        <x:f>IF(Hackathons!Z80="","",Hackathons!Z80)</x:f>
        <x:v>Trophy; Kimi AI credits</x:v>
      </x:c>
      <x:c r="V27" s="36" t="str">
        <x:f>IF(Hackathons!AA80="","",Hackathons!AA80)</x:f>
        <x:v>Trophy</x:v>
      </x:c>
      <x:c r="W27" s="39" t="n">
        <x:f>IF(Hackathons!AB80="","",Hackathons!AB80)</x:f>
        <x:v>1</x:v>
      </x:c>
      <x:c r="X27" s="36" t="str">
        <x:f>IF(Hackathons!AE80="","",Hackathons!AE80)</x:f>
        <x:v>Exclude</x:v>
      </x:c>
      <x:c r="Y27" s="36" t="str">
        <x:f>IF(Hackathons!AF80="","",Hackathons!AF80)</x:f>
        <x:v>Trophy excluded; credit value tracked</x:v>
      </x:c>
    </x:row>
    <x:row r="28">
      <x:c r="A28" s="36" t="n">
        <x:f>Hackathons!A81</x:f>
        <x:v>80</x:v>
      </x:c>
      <x:c r="B28" s="36" t="str">
        <x:f>Hackathons!B81</x:f>
        <x:v>GPT-6 Astra Hackathon: Singapore</x:v>
      </x:c>
      <x:c r="C28" s="36" t="str">
        <x:f>Hackathons!AG81</x:f>
        <x:v>Best Project — Best Use of GPT-Image-2.5 — US$5,000 OpenAI Credits Each</x:v>
      </x:c>
      <x:c r="D28" s="36" t="str">
        <x:f>IF(Hackathons!Q81="","",Hackathons!Q81)</x:f>
        <x:v>Best Project</x:v>
      </x:c>
      <x:c r="E28" s="36" t="str">
        <x:f>IF(Hackathons!R81="","",Hackathons!R81)</x:f>
        <x:v>Best Use of GPT-Image-2.5</x:v>
      </x:c>
      <x:c r="F28" s="39" t="n">
        <x:f>IF(Hackathons!AH81="","",Hackathons!AH81)</x:f>
        <x:v>2</x:v>
      </x:c>
      <x:c r="G28" s="36" t="str">
        <x:f>IF(Hackathons!AI81="","",Hackathons!AI81)</x:f>
        <x:v>Per Team Member</x:v>
      </x:c>
      <x:c r="H28" s="40" t="str">
        <x:f>IF(Hackathons!S81="","",IF(G28="Per Team Member",Hackathons!S81*F28,Hackathons!S81))</x:f>
      </x:c>
      <x:c r="I28" s="36" t="str">
        <x:f>IF(Hackathons!T81="","",Hackathons!T81)</x:f>
      </x:c>
      <x:c r="J28" s="498" t="str">
        <x:f>IF(OR(H28="",F28=""),"",H28/F28)</x:f>
      </x:c>
      <x:c r="K28" s="40" t="n">
        <x:f>IF(Hackathons!U81="","",IF(G28="Per Team Member",Hackathons!U81*F28,Hackathons!U81))</x:f>
        <x:v>10000</x:v>
      </x:c>
      <x:c r="L28" s="36" t="str">
        <x:f>IF(Hackathons!V81="","",Hackathons!V81)</x:f>
        <x:v>USD</x:v>
      </x:c>
      <x:c r="M28" s="498" t="n">
        <x:f>IF(OR(K28="",F28=""),"",K28/F28)</x:f>
        <x:v>5000</x:v>
      </x:c>
      <x:c r="N28" s="39" t="str">
        <x:f>IF(Hackathons!W81="","",IF(G28="Per Team Member",Hackathons!W81*F28,Hackathons!W81))</x:f>
      </x:c>
      <x:c r="O28" s="40" t="str">
        <x:f>IF(Hackathons!X81="","",IF(G28="Per Team Member",Hackathons!X81*F28,Hackathons!X81))</x:f>
      </x:c>
      <x:c r="P28" s="36" t="str">
        <x:f>IF(Hackathons!Y81="","",Hackathons!Y81)</x:f>
      </x:c>
      <x:c r="Q28" s="498" t="str">
        <x:f>IF(OR(O28="",F28=""),"",O28/F28)</x:f>
      </x:c>
      <x:c r="R28" s="40" t="str">
        <x:f>IF(Hackathons!AC81="","",IF(G28="Per Team Member",Hackathons!AC81*F28,Hackathons!AC81))</x:f>
      </x:c>
      <x:c r="S28" s="36" t="str">
        <x:f>IF(Hackathons!AD81="","",Hackathons!AD81)</x:f>
      </x:c>
      <x:c r="T28" s="498" t="str">
        <x:f>IF(OR(R28="",F28="",F28=0),"",R28/F28)</x:f>
      </x:c>
      <x:c r="U28" s="36" t="str">
        <x:f>IF(Hackathons!Z81="","",Hackathons!Z81)</x:f>
        <x:v>OpenAI credits</x:v>
      </x:c>
      <x:c r="V28" s="36" t="str">
        <x:f>IF(Hackathons!AA81="","",Hackathons!AA81)</x:f>
      </x:c>
      <x:c r="W28" s="39" t="str">
        <x:f>IF(Hackathons!AB81="","",Hackathons!AB81)</x:f>
      </x:c>
      <x:c r="X28" s="36" t="str">
        <x:f>IF(Hackathons!AE81="","",Hackathons!AE81)</x:f>
        <x:v>Exclude</x:v>
      </x:c>
      <x:c r="Y28" s="36" t="str">
        <x:f>IF(Hackathons!AF81="","",Hackathons!AF81)</x:f>
        <x:v>Credit value tracked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</x:sheetData>
  <x:mergeCells>
    <x:mergeCell ref="A3:C3"/>
    <x:mergeCell ref="D3:E3"/>
    <x:mergeCell ref="F3:H3"/>
    <x:mergeCell ref="I3:J3"/>
    <x:mergeCell ref="L3:N3"/>
    <x:mergeCell ref="O3:P3"/>
    <x:mergeCell ref="A1:Y1"/>
    <x:mergeCell ref="A2:Y2"/>
  </x:mergeCells>
  <x:pageMargins left="0.7" right="0.7" top="0.75" bottom="0.75" header="0.3" footer="0.3"/>
  <x:tableParts count="1">
    <x:tablePart xmlns:r="http://schemas.openxmlformats.org/officeDocument/2006/relationships" r:id="R2f7da744c5a14c47"/>
  </x:tableParts>
</x:worksheet>
</file>