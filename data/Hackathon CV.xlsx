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4ab274e94142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a70d0e706b34bc6"/>
    <x:sheet xmlns:r="http://schemas.openxmlformats.org/officeDocument/2006/relationships" name="People" sheetId="2" r:id="R8703e043c74740f9"/>
    <x:sheet xmlns:r="http://schemas.openxmlformats.org/officeDocument/2006/relationships" name="Socials" sheetId="3" r:id="R02a5fff09ec54696"/>
    <x:sheet xmlns:r="http://schemas.openxmlformats.org/officeDocument/2006/relationships" name="Theme Map" sheetId="4" r:id="R40a1a6b6bd544efa"/>
    <x:sheet xmlns:r="http://schemas.openxmlformats.org/officeDocument/2006/relationships" name="Prize Money" sheetId="5" r:id="Rc05e35a6d2f242b1"/>
    <x:sheet xmlns:r="http://schemas.openxmlformats.org/officeDocument/2006/relationships" name="Prize Details" sheetId="6" r:id="R81a1cb0d3b544b30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<x:sst xmlns:x="http://schemas.openxmlformats.org/spreadsheetml/2006/main">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</x:sst>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4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91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43ef62b10485d" /><Relationship Type="http://schemas.openxmlformats.org/officeDocument/2006/relationships/theme" Target="/xl/theme/theme1.xml" Id="R3d2e1bf847c2472f" /><Relationship Type="http://schemas.openxmlformats.org/officeDocument/2006/relationships/sharedStrings" Target="/xl/sharedStrings.xml" Id="R23e0bc7b18184a1f" /><Relationship Type="http://schemas.openxmlformats.org/officeDocument/2006/relationships/worksheet" Target="/xl/worksheets/sheet1.xml" Id="R9a70d0e706b34bc6" /><Relationship Type="http://schemas.openxmlformats.org/officeDocument/2006/relationships/worksheet" Target="/xl/worksheets/sheet2.xml" Id="R8703e043c74740f9" /><Relationship Type="http://schemas.openxmlformats.org/officeDocument/2006/relationships/worksheet" Target="/xl/worksheets/sheet3.xml" Id="R02a5fff09ec54696" /><Relationship Type="http://schemas.openxmlformats.org/officeDocument/2006/relationships/worksheet" Target="/xl/worksheets/sheet4.xml" Id="R40a1a6b6bd544efa" /><Relationship Type="http://schemas.openxmlformats.org/officeDocument/2006/relationships/worksheet" Target="/xl/worksheets/sheet5.xml" Id="Rc05e35a6d2f242b1" /><Relationship Type="http://schemas.openxmlformats.org/officeDocument/2006/relationships/worksheet" Target="/xl/worksheets/sheet6.xml" Id="R81a1cb0d3b544b30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0f570abde045437d" /><Relationship Type="http://schemas.openxmlformats.org/officeDocument/2006/relationships/hyperlink" Target="https://luma.com/tgbspeechmatics1?tk=NaV6RE" TargetMode="External" Id="R61455f82b54b4990" /><Relationship Type="http://schemas.openxmlformats.org/officeDocument/2006/relationships/hyperlink" Target="https://luma.com/bh5iqhnx?tk=17u8ZH" TargetMode="External" Id="R302eef6afc894f03" /><Relationship Type="http://schemas.openxmlformats.org/officeDocument/2006/relationships/hyperlink" Target="https://github.com/gigradarapp/gr-atlas" TargetMode="External" Id="Ra8b66eacbb77463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e264cfb16f194e64" /><Relationship Type="http://schemas.openxmlformats.org/officeDocument/2006/relationships/hyperlink" Target="https://www.linkedin.com/in/akmal-hakim-teo/" TargetMode="External" Id="R0a98f61dcb194104" /><Relationship Type="http://schemas.openxmlformats.org/officeDocument/2006/relationships/table" Target="/xl/tables/table1.xml" Id="Rd1057523a13349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31dda0bada46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4c7635549fdd4a93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0f570abde045437d"/>
    <x:hyperlink xmlns:r="http://schemas.openxmlformats.org/officeDocument/2006/relationships" ref="P61" r:id="R61455f82b54b4990"/>
    <x:hyperlink xmlns:r="http://schemas.openxmlformats.org/officeDocument/2006/relationships" ref="P62" r:id="R302eef6afc894f03"/>
    <x:hyperlink xmlns:r="http://schemas.openxmlformats.org/officeDocument/2006/relationships" ref="O76" r:id="Ra8b66eacbb77463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e264cfb16f194e64"/>
    <x:hyperlink xmlns:r="http://schemas.openxmlformats.org/officeDocument/2006/relationships" ref="E41" r:id="R0a98f61dcb194104"/>
  </x:hyperlinks>
  <x:pageMargins left="0.7" right="0.7" top="0.75" bottom="0.75" header="0.3" footer="0.3"/>
  <x:tableParts count="1">
    <x:tablePart xmlns:r="http://schemas.openxmlformats.org/officeDocument/2006/relationships" r:id="Rd1057523a13349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931dda0bada466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</x:cols>
  <x:sheetData>
    <x:row r="1" ht="32" customHeight="1">
      <x:c r="A1" s="105" t="str">
        <x:v>Prize Money — Detailed Breakdown</x:v>
      </x:c>
    </x:row>
    <x:row r="2" ht="28" customHeight="1">
      <x:c r="A2" s="106" t="str">
        <x:v>One row per currently classified award or prize record. The Award summary is standardized from the linked fields on Hackathons; the original raw text remains preserved there.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D5&amp;IF(E5&lt;&gt;""," — "&amp;E5,"")&amp;IF(F5&lt;&gt;"",IF(M5&lt;&gt;"","","; "&amp;IF(G5="SGD","S$",IF(G5="USD","US$",G5&amp;" "))&amp;TEXT(F5,"#,##0")&amp;" cash / voucher"),"")&amp;IF(H5&lt;&gt;"","; "&amp;IF(I5="SGD","S$",IF(I5="USD","US$",I5&amp;" "))&amp;TEXT(H5,"#,##0")&amp;" credits","")&amp;IF(J5&lt;&gt;"","; "&amp;TEXT(J5,"#,##0")&amp;" subscription(s)"&amp;IF(K5&lt;&gt;""," ("&amp;IF(L5="USD","US$",IF(L5="SGD","S$",L5&amp;" "))&amp;TEXT(K5,"#,##0")&amp;")",""),"")&amp;IF(M5&lt;&gt;"","; "&amp;M5,"")&amp;IF(O5&lt;&gt;"","; "&amp;TEXT(O5,"#,##0")&amp;" trophy/trophies","")&amp;IF(P5&lt;&gt;"","; "&amp;IF(Q5="SGD","S$",IF(Q5="USD","US$",Q5&amp;" "))&amp;TEXT(P5,"#,##0")&amp;" funding","")</x:f>
        <x:v>1st Place; S$18,000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D6&amp;IF(E6&lt;&gt;""," — "&amp;E6,"")&amp;IF(F6&lt;&gt;"",IF(M6&lt;&gt;"","","; "&amp;IF(G6="SGD","S$",IF(G6="USD","US$",G6&amp;" "))&amp;TEXT(F6,"#,##0")&amp;" cash / voucher"),"")&amp;IF(H6&lt;&gt;"","; "&amp;IF(I6="SGD","S$",IF(I6="USD","US$",I6&amp;" "))&amp;TEXT(H6,"#,##0")&amp;" credits","")&amp;IF(J6&lt;&gt;"","; "&amp;TEXT(J6,"#,##0")&amp;" subscription(s)"&amp;IF(K6&lt;&gt;""," ("&amp;IF(L6="USD","US$",IF(L6="SGD","S$",L6&amp;" "))&amp;TEXT(K6,"#,##0")&amp;")",""),"")&amp;IF(M6&lt;&gt;"","; "&amp;M6,"")&amp;IF(O6&lt;&gt;"","; "&amp;TEXT(O6,"#,##0")&amp;" trophy/trophies","")&amp;IF(P6&lt;&gt;"","; "&amp;IF(Q6="SGD","S$",IF(Q6="USD","US$",Q6&amp;" "))&amp;TEXT(P6,"#,##0")&amp;" funding","")</x:f>
        <x:v>Best Project — Rated 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D7&amp;IF(E7&lt;&gt;""," — "&amp;E7,"")&amp;IF(F7&lt;&gt;"",IF(M7&lt;&gt;"","","; "&amp;IF(G7="SGD","S$",IF(G7="USD","US$",G7&amp;" "))&amp;TEXT(F7,"#,##0")&amp;" cash / voucher"),"")&amp;IF(H7&lt;&gt;"","; "&amp;IF(I7="SGD","S$",IF(I7="USD","US$",I7&amp;" "))&amp;TEXT(H7,"#,##0")&amp;" credits","")&amp;IF(J7&lt;&gt;"","; "&amp;TEXT(J7,"#,##0")&amp;" subscription(s)"&amp;IF(K7&lt;&gt;""," ("&amp;IF(L7="USD","US$",IF(L7="SGD","S$",L7&amp;" "))&amp;TEXT(K7,"#,##0")&amp;")",""),"")&amp;IF(M7&lt;&gt;"","; "&amp;M7,"")&amp;IF(O7&lt;&gt;"","; "&amp;TEXT(O7,"#,##0")&amp;" trophy/trophies","")&amp;IF(P7&lt;&gt;"","; "&amp;IF(Q7="SGD","S$",IF(Q7="USD","US$",Q7&amp;" "))&amp;TEXT(P7,"#,##0")&amp;" funding","")</x:f>
        <x:v>1st Place — Best Use of IBM Bluemix; US$100,000 credits; IBM Bluemix credits;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D8&amp;IF(E8&lt;&gt;""," — "&amp;E8,"")&amp;IF(F8&lt;&gt;"",IF(M8&lt;&gt;"","","; "&amp;IF(G8="SGD","S$",IF(G8="USD","US$",G8&amp;" "))&amp;TEXT(F8,"#,##0")&amp;" cash / voucher"),"")&amp;IF(H8&lt;&gt;"","; "&amp;IF(I8="SGD","S$",IF(I8="USD","US$",I8&amp;" "))&amp;TEXT(H8,"#,##0")&amp;" credits","")&amp;IF(J8&lt;&gt;"","; "&amp;TEXT(J8,"#,##0")&amp;" subscription(s)"&amp;IF(K8&lt;&gt;""," ("&amp;IF(L8="USD","US$",IF(L8="SGD","S$",L8&amp;" "))&amp;TEXT(K8,"#,##0")&amp;")",""),"")&amp;IF(M8&lt;&gt;"","; "&amp;M8,"")&amp;IF(O8&lt;&gt;"","; "&amp;TEXT(O8,"#,##0")&amp;" trophy/trophies","")&amp;IF(P8&lt;&gt;"","; "&amp;IF(Q8="SGD","S$",IF(Q8="USD","US$",Q8&amp;" "))&amp;TEXT(P8,"#,##0")&amp;" funding","")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D9&amp;IF(E9&lt;&gt;""," — "&amp;E9,"")&amp;IF(F9&lt;&gt;"",IF(M9&lt;&gt;"","","; "&amp;IF(G9="SGD","S$",IF(G9="USD","US$",G9&amp;" "))&amp;TEXT(F9,"#,##0")&amp;" cash / voucher"),"")&amp;IF(H9&lt;&gt;"","; "&amp;IF(I9="SGD","S$",IF(I9="USD","US$",I9&amp;" "))&amp;TEXT(H9,"#,##0")&amp;" credits","")&amp;IF(J9&lt;&gt;"","; "&amp;TEXT(J9,"#,##0")&amp;" subscription(s)"&amp;IF(K9&lt;&gt;""," ("&amp;IF(L9="USD","US$",IF(L9="SGD","S$",L9&amp;" "))&amp;TEXT(K9,"#,##0")&amp;")",""),"")&amp;IF(M9&lt;&gt;"","; "&amp;M9,"")&amp;IF(O9&lt;&gt;"","; "&amp;TEXT(O9,"#,##0")&amp;" trophy/trophies","")&amp;IF(P9&lt;&gt;"","; "&amp;IF(Q9="SGD","S$",IF(Q9="USD","US$",Q9&amp;" "))&amp;TEXT(P9,"#,##0")&amp;" funding","")</x:f>
        <x:v>Best Project — Rated 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D10&amp;IF(E10&lt;&gt;""," — "&amp;E10,"")&amp;IF(F10&lt;&gt;"",IF(M10&lt;&gt;"","","; "&amp;IF(G10="SGD","S$",IF(G10="USD","US$",G10&amp;" "))&amp;TEXT(F10,"#,##0")&amp;" cash / voucher"),"")&amp;IF(H10&lt;&gt;"","; "&amp;IF(I10="SGD","S$",IF(I10="USD","US$",I10&amp;" "))&amp;TEXT(H10,"#,##0")&amp;" credits","")&amp;IF(J10&lt;&gt;"","; "&amp;TEXT(J10,"#,##0")&amp;" subscription(s)"&amp;IF(K10&lt;&gt;""," ("&amp;IF(L10="USD","US$",IF(L10="SGD","S$",L10&amp;" "))&amp;TEXT(K10,"#,##0")&amp;")",""),"")&amp;IF(M10&lt;&gt;"","; "&amp;M10,"")&amp;IF(O10&lt;&gt;"","; "&amp;TEXT(O10,"#,##0")&amp;" trophy/trophies","")&amp;IF(P10&lt;&gt;"","; "&amp;IF(Q10="SGD","S$",IF(Q10="USD","US$",Q10&amp;" "))&amp;TEXT(P10,"#,##0")&amp;" funding","")</x:f>
        <x:v>3rd Place;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D11&amp;IF(E11&lt;&gt;""," — "&amp;E11,"")&amp;IF(F11&lt;&gt;"",IF(M11&lt;&gt;"","","; "&amp;IF(G11="SGD","S$",IF(G11="USD","US$",G11&amp;" "))&amp;TEXT(F11,"#,##0")&amp;" cash / voucher"),"")&amp;IF(H11&lt;&gt;"","; "&amp;IF(I11="SGD","S$",IF(I11="USD","US$",I11&amp;" "))&amp;TEXT(H11,"#,##0")&amp;" credits","")&amp;IF(J11&lt;&gt;"","; "&amp;TEXT(J11,"#,##0")&amp;" subscription(s)"&amp;IF(K11&lt;&gt;""," ("&amp;IF(L11="USD","US$",IF(L11="SGD","S$",L11&amp;" "))&amp;TEXT(K11,"#,##0")&amp;")",""),"")&amp;IF(M11&lt;&gt;"","; "&amp;M11,"")&amp;IF(O11&lt;&gt;"","; "&amp;TEXT(O11,"#,##0")&amp;" trophy/trophies","")&amp;IF(P11&lt;&gt;"","; "&amp;IF(Q11="SGD","S$",IF(Q11="USD","US$",Q11&amp;" "))&amp;TEXT(P11,"#,##0")&amp;" funding","")</x:f>
        <x:v>2nd Place; S$600 cash / voucher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D12&amp;IF(E12&lt;&gt;""," — "&amp;E12,"")&amp;IF(F12&lt;&gt;"",IF(M12&lt;&gt;"","","; "&amp;IF(G12="SGD","S$",IF(G12="USD","US$",G12&amp;" "))&amp;TEXT(F12,"#,##0")&amp;" cash / voucher"),"")&amp;IF(H12&lt;&gt;"","; "&amp;IF(I12="SGD","S$",IF(I12="USD","US$",I12&amp;" "))&amp;TEXT(H12,"#,##0")&amp;" credits","")&amp;IF(J12&lt;&gt;"","; "&amp;TEXT(J12,"#,##0")&amp;" subscription(s)"&amp;IF(K12&lt;&gt;""," ("&amp;IF(L12="USD","US$",IF(L12="SGD","S$",L12&amp;" "))&amp;TEXT(K12,"#,##0")&amp;")",""),"")&amp;IF(M12&lt;&gt;"","; "&amp;M12,"")&amp;IF(O12&lt;&gt;"","; "&amp;TEXT(O12,"#,##0")&amp;" trophy/trophies","")&amp;IF(P12&lt;&gt;"","; "&amp;IF(Q12="SGD","S$",IF(Q12="USD","US$",Q12&amp;" "))&amp;TEXT(P12,"#,##0")&amp;" funding","")</x:f>
        <x:v>3rd Place; S$500 cash / voucher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D13&amp;IF(E13&lt;&gt;""," — "&amp;E13,"")&amp;IF(F13&lt;&gt;"",IF(M13&lt;&gt;"","","; "&amp;IF(G13="SGD","S$",IF(G13="USD","US$",G13&amp;" "))&amp;TEXT(F13,"#,##0")&amp;" cash / voucher"),"")&amp;IF(H13&lt;&gt;"","; "&amp;IF(I13="SGD","S$",IF(I13="USD","US$",I13&amp;" "))&amp;TEXT(H13,"#,##0")&amp;" credits","")&amp;IF(J13&lt;&gt;"","; "&amp;TEXT(J13,"#,##0")&amp;" subscription(s)"&amp;IF(K13&lt;&gt;""," ("&amp;IF(L13="USD","US$",IF(L13="SGD","S$",L13&amp;" "))&amp;TEXT(K13,"#,##0")&amp;")",""),"")&amp;IF(M13&lt;&gt;"","; "&amp;M13,"")&amp;IF(O13&lt;&gt;"","; "&amp;TEXT(O13,"#,##0")&amp;" trophy/trophies","")&amp;IF(P13&lt;&gt;"","; "&amp;IF(Q13="SGD","S$",IF(Q13="USD","US$",Q13&amp;" "))&amp;TEXT(P13,"#,##0")&amp;" funding","")</x:f>
        <x:v>3rd Prize; S$250 cash / voucher</x:v>
      </x:c>
      <x:c r="D13" s="36" t="str">
        <x:f>IF(Hackathons!Q34="","",Hackathons!Q34)</x:f>
        <x:v>3rd Prize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D14&amp;IF(E14&lt;&gt;""," — "&amp;E14,"")&amp;IF(F14&lt;&gt;"",IF(M14&lt;&gt;"","","; "&amp;IF(G14="SGD","S$",IF(G14="USD","US$",G14&amp;" "))&amp;TEXT(F14,"#,##0")&amp;" cash / voucher"),"")&amp;IF(H14&lt;&gt;"","; "&amp;IF(I14="SGD","S$",IF(I14="USD","US$",I14&amp;" "))&amp;TEXT(H14,"#,##0")&amp;" credits","")&amp;IF(J14&lt;&gt;"","; "&amp;TEXT(J14,"#,##0")&amp;" subscription(s)"&amp;IF(K14&lt;&gt;""," ("&amp;IF(L14="USD","US$",IF(L14="SGD","S$",L14&amp;" "))&amp;TEXT(K14,"#,##0")&amp;")",""),"")&amp;IF(M14&lt;&gt;"","; "&amp;M14,"")&amp;IF(O14&lt;&gt;"","; "&amp;TEXT(O14,"#,##0")&amp;" trophy/trophies","")&amp;IF(P14&lt;&gt;"","; "&amp;IF(Q14="SGD","S$",IF(Q14="USD","US$",Q14&amp;" "))&amp;TEXT(P14,"#,##0")&amp;" funding","")</x:f>
        <x:v>2nd Prize; S$1,000 cash / voucher</x:v>
      </x:c>
      <x:c r="D14" s="36" t="str">
        <x:f>IF(Hackathons!Q36="","",Hackathons!Q36)</x:f>
        <x:v>2nd Prize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D15&amp;IF(E15&lt;&gt;""," — "&amp;E15,"")&amp;IF(F15&lt;&gt;"",IF(M15&lt;&gt;"","","; "&amp;IF(G15="SGD","S$",IF(G15="USD","US$",G15&amp;" "))&amp;TEXT(F15,"#,##0")&amp;" cash / voucher"),"")&amp;IF(H15&lt;&gt;"","; "&amp;IF(I15="SGD","S$",IF(I15="USD","US$",I15&amp;" "))&amp;TEXT(H15,"#,##0")&amp;" credits","")&amp;IF(J15&lt;&gt;"","; "&amp;TEXT(J15,"#,##0")&amp;" subscription(s)"&amp;IF(K15&lt;&gt;""," ("&amp;IF(L15="USD","US$",IF(L15="SGD","S$",L15&amp;" "))&amp;TEXT(K15,"#,##0")&amp;")",""),"")&amp;IF(M15&lt;&gt;"","; "&amp;M15,"")&amp;IF(O15&lt;&gt;"","; "&amp;TEXT(O15,"#,##0")&amp;" trophy/trophies","")&amp;IF(P15&lt;&gt;"","; "&amp;IF(Q15="SGD","S$",IF(Q15="USD","US$",Q15&amp;" "))&amp;TEXT(P15,"#,##0")&amp;" funding","")</x:f>
        <x:v>2nd Prize; 1 subscription(s) (US$39); Manus Pro subscription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D16&amp;IF(E16&lt;&gt;""," — "&amp;E16,"")&amp;IF(F16&lt;&gt;"",IF(M16&lt;&gt;"","","; "&amp;IF(G16="SGD","S$",IF(G16="USD","US$",G16&amp;" "))&amp;TEXT(F16,"#,##0")&amp;" cash / voucher"),"")&amp;IF(H16&lt;&gt;"","; "&amp;IF(I16="SGD","S$",IF(I16="USD","US$",I16&amp;" "))&amp;TEXT(H16,"#,##0")&amp;" credits","")&amp;IF(J16&lt;&gt;"","; "&amp;TEXT(J16,"#,##0")&amp;" subscription(s)"&amp;IF(K16&lt;&gt;""," ("&amp;IF(L16="USD","US$",IF(L16="SGD","S$",L16&amp;" "))&amp;TEXT(K16,"#,##0")&amp;")",""),"")&amp;IF(M16&lt;&gt;"","; "&amp;M16,"")&amp;IF(O16&lt;&gt;"","; "&amp;TEXT(O16,"#,##0")&amp;" trophy/trophies","")&amp;IF(P16&lt;&gt;"","; "&amp;IF(Q16="SGD","S$",IF(Q16="USD","US$",Q16&amp;" "))&amp;TEXT(P16,"#,##0")&amp;" funding","")</x:f>
        <x:v>Best Finisher — Novel Hackathon; Trophy; 1 trophy/trophies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D17&amp;IF(E17&lt;&gt;""," — "&amp;E17,"")&amp;IF(F17&lt;&gt;"",IF(M17&lt;&gt;"","","; "&amp;IF(G17="SGD","S$",IF(G17="USD","US$",G17&amp;" "))&amp;TEXT(F17,"#,##0")&amp;" cash / voucher"),"")&amp;IF(H17&lt;&gt;"","; "&amp;IF(I17="SGD","S$",IF(I17="USD","US$",I17&amp;" "))&amp;TEXT(H17,"#,##0")&amp;" credits","")&amp;IF(J17&lt;&gt;"","; "&amp;TEXT(J17,"#,##0")&amp;" subscription(s)"&amp;IF(K17&lt;&gt;""," ("&amp;IF(L17="USD","US$",IF(L17="SGD","S$",L17&amp;" "))&amp;TEXT(K17,"#,##0")&amp;")",""),"")&amp;IF(M17&lt;&gt;"","; "&amp;M17,"")&amp;IF(O17&lt;&gt;"","; "&amp;TEXT(O17,"#,##0")&amp;" trophy/trophies","")&amp;IF(P17&lt;&gt;"","; "&amp;IF(Q17="SGD","S$",IF(Q17="USD","US$",Q17&amp;" "))&amp;TEXT(P17,"#,##0")&amp;" funding","")</x:f>
        <x:v>1st Prize; US$500 credits; Nosana Cloud credit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D18&amp;IF(E18&lt;&gt;""," — "&amp;E18,"")&amp;IF(F18&lt;&gt;"",IF(M18&lt;&gt;"","","; "&amp;IF(G18="SGD","S$",IF(G18="USD","US$",G18&amp;" "))&amp;TEXT(F18,"#,##0")&amp;" cash / voucher"),"")&amp;IF(H18&lt;&gt;"","; "&amp;IF(I18="SGD","S$",IF(I18="USD","US$",I18&amp;" "))&amp;TEXT(H18,"#,##0")&amp;" credits","")&amp;IF(J18&lt;&gt;"","; "&amp;TEXT(J18,"#,##0")&amp;" subscription(s)"&amp;IF(K18&lt;&gt;""," ("&amp;IF(L18="USD","US$",IF(L18="SGD","S$",L18&amp;" "))&amp;TEXT(K18,"#,##0")&amp;")",""),"")&amp;IF(M18&lt;&gt;"","; "&amp;M18,"")&amp;IF(O18&lt;&gt;"","; "&amp;TEXT(O18,"#,##0")&amp;" trophy/trophies","")&amp;IF(P18&lt;&gt;"","; "&amp;IF(Q18="SGD","S$",IF(Q18="USD","US$",Q18&amp;" "))&amp;TEXT(P18,"#,##0")&amp;" funding","")</x:f>
        <x:v>1st Prize; US$1,000 credits;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D19&amp;IF(E19&lt;&gt;""," — "&amp;E19,"")&amp;IF(F19&lt;&gt;"",IF(M19&lt;&gt;"","","; "&amp;IF(G19="SGD","S$",IF(G19="USD","US$",G19&amp;" "))&amp;TEXT(F19,"#,##0")&amp;" cash / voucher"),"")&amp;IF(H19&lt;&gt;"","; "&amp;IF(I19="SGD","S$",IF(I19="USD","US$",I19&amp;" "))&amp;TEXT(H19,"#,##0")&amp;" credits","")&amp;IF(J19&lt;&gt;"","; "&amp;TEXT(J19,"#,##0")&amp;" subscription(s)"&amp;IF(K19&lt;&gt;""," ("&amp;IF(L19="USD","US$",IF(L19="SGD","S$",L19&amp;" "))&amp;TEXT(K19,"#,##0")&amp;")",""),"")&amp;IF(M19&lt;&gt;"","; "&amp;M19,"")&amp;IF(O19&lt;&gt;"","; "&amp;TEXT(O19,"#,##0")&amp;" trophy/trophies","")&amp;IF(P19&lt;&gt;"","; "&amp;IF(Q19="SGD","S$",IF(Q19="USD","US$",Q19&amp;" "))&amp;TEXT(P19,"#,##0")&amp;" funding","")</x:f>
        <x:v>1st Prize; US$500 credits;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D20&amp;IF(E20&lt;&gt;""," — "&amp;E20,"")&amp;IF(F20&lt;&gt;"",IF(M20&lt;&gt;"","","; "&amp;IF(G20="SGD","S$",IF(G20="USD","US$",G20&amp;" "))&amp;TEXT(F20,"#,##0")&amp;" cash / voucher"),"")&amp;IF(H20&lt;&gt;"","; "&amp;IF(I20="SGD","S$",IF(I20="USD","US$",I20&amp;" "))&amp;TEXT(H20,"#,##0")&amp;" credits","")&amp;IF(J20&lt;&gt;"","; "&amp;TEXT(J20,"#,##0")&amp;" subscription(s)"&amp;IF(K20&lt;&gt;""," ("&amp;IF(L20="USD","US$",IF(L20="SGD","S$",L20&amp;" "))&amp;TEXT(K20,"#,##0")&amp;")",""),"")&amp;IF(M20&lt;&gt;"","; "&amp;M20,"")&amp;IF(O20&lt;&gt;"","; "&amp;TEXT(O20,"#,##0")&amp;" trophy/trophies","")&amp;IF(P20&lt;&gt;"","; "&amp;IF(Q20="SGD","S$",IF(Q20="USD","US$",Q20&amp;" "))&amp;TEXT(P20,"#,##0")&amp;" funding","")</x:f>
        <x:v>1st Prize; US$500 credits;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D21&amp;IF(E21&lt;&gt;""," — "&amp;E21,"")&amp;IF(F21&lt;&gt;"",IF(M21&lt;&gt;"","","; "&amp;IF(G21="SGD","S$",IF(G21="USD","US$",G21&amp;" "))&amp;TEXT(F21,"#,##0")&amp;" cash / voucher"),"")&amp;IF(H21&lt;&gt;"","; "&amp;IF(I21="SGD","S$",IF(I21="USD","US$",I21&amp;" "))&amp;TEXT(H21,"#,##0")&amp;" credits","")&amp;IF(J21&lt;&gt;"","; "&amp;TEXT(J21,"#,##0")&amp;" subscription(s)"&amp;IF(K21&lt;&gt;""," ("&amp;IF(L21="USD","US$",IF(L21="SGD","S$",L21&amp;" "))&amp;TEXT(K21,"#,##0")&amp;")",""),"")&amp;IF(M21&lt;&gt;"","; "&amp;M21,"")&amp;IF(O21&lt;&gt;"","; "&amp;TEXT(O21,"#,##0")&amp;" trophy/trophies","")&amp;IF(P21&lt;&gt;"","; "&amp;IF(Q21="SGD","S$",IF(Q21="USD","US$",Q21&amp;" "))&amp;TEXT(P21,"#,##0")&amp;" funding","")</x:f>
        <x:v>1st Prize; US$150 credits;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D22&amp;IF(E22&lt;&gt;""," — "&amp;E22,"")&amp;IF(F22&lt;&gt;"",IF(M22&lt;&gt;"","","; "&amp;IF(G22="SGD","S$",IF(G22="USD","US$",G22&amp;" "))&amp;TEXT(F22,"#,##0")&amp;" cash / voucher"),"")&amp;IF(H22&lt;&gt;"","; "&amp;IF(I22="SGD","S$",IF(I22="USD","US$",I22&amp;" "))&amp;TEXT(H22,"#,##0")&amp;" credits","")&amp;IF(J22&lt;&gt;"","; "&amp;TEXT(J22,"#,##0")&amp;" subscription(s)"&amp;IF(K22&lt;&gt;""," ("&amp;IF(L22="USD","US$",IF(L22="SGD","S$",L22&amp;" "))&amp;TEXT(K22,"#,##0")&amp;")",""),"")&amp;IF(M22&lt;&gt;"","; "&amp;M22,"")&amp;IF(O22&lt;&gt;"","; "&amp;TEXT(O22,"#,##0")&amp;" trophy/trophies","")&amp;IF(P22&lt;&gt;"","; "&amp;IF(Q22="SGD","S$",IF(Q22="USD","US$",Q22&amp;" "))&amp;TEXT(P22,"#,##0")&amp;" funding","")</x:f>
        <x:v>3rd Prize; S$385 credits;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D23&amp;IF(E23&lt;&gt;""," — "&amp;E23,"")&amp;IF(F23&lt;&gt;"",IF(M23&lt;&gt;"","","; "&amp;IF(G23="SGD","S$",IF(G23="USD","US$",G23&amp;" "))&amp;TEXT(F23,"#,##0")&amp;" cash / voucher"),"")&amp;IF(H23&lt;&gt;"","; "&amp;IF(I23="SGD","S$",IF(I23="USD","US$",I23&amp;" "))&amp;TEXT(H23,"#,##0")&amp;" credits","")&amp;IF(J23&lt;&gt;"","; "&amp;TEXT(J23,"#,##0")&amp;" subscription(s)"&amp;IF(K23&lt;&gt;""," ("&amp;IF(L23="USD","US$",IF(L23="SGD","S$",L23&amp;" "))&amp;TEXT(K23,"#,##0")&amp;")",""),"")&amp;IF(M23&lt;&gt;"","; "&amp;M23,"")&amp;IF(O23&lt;&gt;"","; "&amp;TEXT(O23,"#,##0")&amp;" trophy/trophies","")&amp;IF(P23&lt;&gt;"","; "&amp;IF(Q23="SGD","S$",IF(Q23="USD","US$",Q23&amp;" "))&amp;TEXT(P23,"#,##0")&amp;" funding","")</x:f>
        <x:v>Award — Speechmatics; US$2,000 credits;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D24&amp;IF(E24&lt;&gt;""," — "&amp;E24,"")&amp;IF(F24&lt;&gt;"",IF(M24&lt;&gt;"","","; "&amp;IF(G24="SGD","S$",IF(G24="USD","US$",G24&amp;" "))&amp;TEXT(F24,"#,##0")&amp;" cash / voucher"),"")&amp;IF(H24&lt;&gt;"","; "&amp;IF(I24="SGD","S$",IF(I24="USD","US$",I24&amp;" "))&amp;TEXT(H24,"#,##0")&amp;" credits","")&amp;IF(J24&lt;&gt;"","; "&amp;TEXT(J24,"#,##0")&amp;" subscription(s)"&amp;IF(K24&lt;&gt;""," ("&amp;IF(L24="USD","US$",IF(L24="SGD","S$",L24&amp;" "))&amp;TEXT(K24,"#,##0")&amp;")",""),"")&amp;IF(M24&lt;&gt;"","; "&amp;M24,"")&amp;IF(O24&lt;&gt;"","; "&amp;TEXT(O24,"#,##0")&amp;" trophy/trophies","")&amp;IF(P24&lt;&gt;"","; "&amp;IF(Q24="SGD","S$",IF(Q24="USD","US$",Q24&amp;" "))&amp;TEXT(P24,"#,##0")&amp;" funding","")</x:f>
        <x:v>Award — v0; 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D25&amp;IF(E25&lt;&gt;""," — "&amp;E25,"")&amp;IF(F25&lt;&gt;"",IF(M25&lt;&gt;"","","; "&amp;IF(G25="SGD","S$",IF(G25="USD","US$",G25&amp;" "))&amp;TEXT(F25,"#,##0")&amp;" cash / voucher"),"")&amp;IF(H25&lt;&gt;"","; "&amp;IF(I25="SGD","S$",IF(I25="USD","US$",I25&amp;" "))&amp;TEXT(H25,"#,##0")&amp;" credits","")&amp;IF(J25&lt;&gt;"","; "&amp;TEXT(J25,"#,##0")&amp;" subscription(s)"&amp;IF(K25&lt;&gt;""," ("&amp;IF(L25="USD","US$",IF(L25="SGD","S$",L25&amp;" "))&amp;TEXT(K25,"#,##0")&amp;")",""),"")&amp;IF(M25&lt;&gt;"","; "&amp;M25,"")&amp;IF(O25&lt;&gt;"","; "&amp;TEXT(O25,"#,##0")&amp;" trophy/trophies","")&amp;IF(P25&lt;&gt;"","; "&amp;IF(Q25="SGD","S$",IF(Q25="USD","US$",Q25&amp;" "))&amp;TEXT(P25,"#,##0")&amp;" funding","")</x:f>
        <x:v>Top 20; US$12,000 credits; 10K OpenAI credits; 2K Gemini Cloud credits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D26&amp;IF(E26&lt;&gt;""," — "&amp;E26,"")&amp;IF(F26&lt;&gt;"",IF(M26&lt;&gt;"","","; "&amp;IF(G26="SGD","S$",IF(G26="USD","US$",G26&amp;" "))&amp;TEXT(F26,"#,##0")&amp;" cash / voucher"),"")&amp;IF(H26&lt;&gt;"","; "&amp;IF(I26="SGD","S$",IF(I26="USD","US$",I26&amp;" "))&amp;TEXT(H26,"#,##0")&amp;" credits","")&amp;IF(J26&lt;&gt;"","; "&amp;TEXT(J26,"#,##0")&amp;" subscription(s)"&amp;IF(K26&lt;&gt;""," ("&amp;IF(L26="USD","US$",IF(L26="SGD","S$",L26&amp;" "))&amp;TEXT(K26,"#,##0")&amp;")",""),"")&amp;IF(M26&lt;&gt;"","; "&amp;M26,"")&amp;IF(O26&lt;&gt;"","; "&amp;TEXT(O26,"#,##0")&amp;" trophy/trophies","")&amp;IF(P26&lt;&gt;"","; "&amp;IF(Q26="SGD","S$",IF(Q26="USD","US$",Q26&amp;" "))&amp;TEXT(P26,"#,##0")&amp;" funding","")</x:f>
        <x:v>Award — AWS; US$4,500 credits;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D27&amp;IF(E27&lt;&gt;""," — "&amp;E27,"")&amp;IF(F27&lt;&gt;"",IF(M27&lt;&gt;"","","; "&amp;IF(G27="SGD","S$",IF(G27="USD","US$",G27&amp;" "))&amp;TEXT(F27,"#,##0")&amp;" cash / voucher"),"")&amp;IF(H27&lt;&gt;"","; "&amp;IF(I27="SGD","S$",IF(I27="USD","US$",I27&amp;" "))&amp;TEXT(H27,"#,##0")&amp;" credits","")&amp;IF(J27&lt;&gt;"","; "&amp;TEXT(J27,"#,##0")&amp;" subscription(s)"&amp;IF(K27&lt;&gt;""," ("&amp;IF(L27="USD","US$",IF(L27="SGD","S$",L27&amp;" "))&amp;TEXT(K27,"#,##0")&amp;")",""),"")&amp;IF(M27&lt;&gt;"","; "&amp;M27,"")&amp;IF(O27&lt;&gt;"","; "&amp;TEXT(O27,"#,##0")&amp;" trophy/trophies","")&amp;IF(P27&lt;&gt;"","; "&amp;IF(Q27="SGD","S$",IF(Q27="USD","US$",Q27&amp;" "))&amp;TEXT(P27,"#,##0")&amp;" funding","")</x:f>
        <x:v>Best Vertical Solution — Family Office Track; US$25 credits; 2,000 Cybrdeck API credits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D28&amp;IF(E28&lt;&gt;""," — "&amp;E28,"")&amp;IF(F28&lt;&gt;"",IF(M28&lt;&gt;"","","; "&amp;IF(G28="SGD","S$",IF(G28="USD","US$",G28&amp;" "))&amp;TEXT(F28,"#,##0")&amp;" cash / voucher"),"")&amp;IF(H28&lt;&gt;"","; "&amp;IF(I28="SGD","S$",IF(I28="USD","US$",I28&amp;" "))&amp;TEXT(H28,"#,##0")&amp;" credits","")&amp;IF(J28&lt;&gt;"","; "&amp;TEXT(J28,"#,##0")&amp;" subscription(s)"&amp;IF(K28&lt;&gt;""," ("&amp;IF(L28="USD","US$",IF(L28="SGD","S$",L28&amp;" "))&amp;TEXT(K28,"#,##0")&amp;")",""),"")&amp;IF(M28&lt;&gt;"","; "&amp;M28,"")&amp;IF(O28&lt;&gt;"","; "&amp;TEXT(O28,"#,##0")&amp;" trophy/trophies","")&amp;IF(P28&lt;&gt;"","; "&amp;IF(Q28="SGD","S$",IF(Q28="USD","US$",Q28&amp;" "))&amp;TEXT(P28,"#,##0")&amp;" funding","")</x:f>
        <x:v>First Runner Up — SG × Sarawak AI &amp; Design Hackathon 2026; US$200 credits; Trophy; Kimi AI credits; 1 trophy/trophies</x:v>
      </x:c>
      <x:c r="D28" s="36" t="str">
        <x:f>IF(Hackathons!Q80="","",Hackathons!Q80)</x:f>
        <x:v>First Runner 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D29&amp;IF(E29&lt;&gt;""," — "&amp;E29,"")&amp;IF(F29&lt;&gt;"",IF(M29&lt;&gt;"","","; "&amp;IF(G29="SGD","S$",IF(G29="USD","US$",G29&amp;" "))&amp;TEXT(F29,"#,##0")&amp;" cash / voucher"),"")&amp;IF(H29&lt;&gt;"","; "&amp;IF(I29="SGD","S$",IF(I29="USD","US$",I29&amp;" "))&amp;TEXT(H29,"#,##0")&amp;" credits","")&amp;IF(J29&lt;&gt;"","; "&amp;TEXT(J29,"#,##0")&amp;" subscription(s)"&amp;IF(K29&lt;&gt;""," ("&amp;IF(L29="USD","US$",IF(L29="SGD","S$",L29&amp;" "))&amp;TEXT(K29,"#,##0")&amp;")",""),"")&amp;IF(M29&lt;&gt;"","; "&amp;M29,"")&amp;IF(O29&lt;&gt;"","; "&amp;TEXT(O29,"#,##0")&amp;" trophy/trophies","")&amp;IF(P29&lt;&gt;"","; "&amp;IF(Q29="SGD","S$",IF(Q29="USD","US$",Q29&amp;" "))&amp;TEXT(P29,"#,##0")&amp;" funding","")</x:f>
        <x:v>Best Project — Best Use of GPT-Image-2.5; US$5,000 credits;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</x:row>
  </x:sheetData>
  <x:mergeCells>
    <x:mergeCell ref="A1:S1"/>
    <x:mergeCell ref="A2:S2"/>
    <x:mergeCell ref="A3:C3"/>
    <x:mergeCell ref="D3:E3"/>
    <x:mergeCell ref="F3:H3"/>
    <x:mergeCell ref="I3:J3"/>
    <x:mergeCell ref="L3:N3"/>
    <x:mergeCell ref="O3:P3"/>
  </x:mergeCells>
  <x:pageMargins left="0.7" right="0.7" top="0.75" bottom="0.75" header="0.3" footer="0.3"/>
  <x:tableParts count="1">
    <x:tablePart xmlns:r="http://schemas.openxmlformats.org/officeDocument/2006/relationships" r:id="R4c7635549fdd4a93"/>
  </x:tableParts>
</x:worksheet>
</file>